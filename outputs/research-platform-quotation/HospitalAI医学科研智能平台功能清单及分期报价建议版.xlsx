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398f429044a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参数" sheetId="1" r:id="Rf8c33b7271d64b47"/>
    <x:sheet xmlns:r="http://schemas.openxmlformats.org/officeDocument/2006/relationships" name="商务报价总览" sheetId="2" r:id="R65a40604ef934600"/>
    <x:sheet xmlns:r="http://schemas.openxmlformats.org/officeDocument/2006/relationships" name="功能模块选择清单" sheetId="3" r:id="R26cf1a4bdfcd4900"/>
    <x:sheet xmlns:r="http://schemas.openxmlformats.org/officeDocument/2006/relationships" name="分期范围汇总" sheetId="4" r:id="R4bf8641fadaa445e"/>
    <x:sheet xmlns:r="http://schemas.openxmlformats.org/officeDocument/2006/relationships" name="公共基础能力" sheetId="5" r:id="Rc4dfdbb96d3043fd"/>
    <x:sheet xmlns:r="http://schemas.openxmlformats.org/officeDocument/2006/relationships" name="数据接口与实施" sheetId="6" r:id="Rf3896825c05d4a5d"/>
    <x:sheet xmlns:r="http://schemas.openxmlformats.org/officeDocument/2006/relationships" name="报价边界与条款" sheetId="7" r:id="R09454814be5e43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#,##0"/>
    <x:numFmt numFmtId="201" formatCode="0.0%"/>
    <x:numFmt numFmtId="202" formatCode="0.00"/>
    <x:numFmt numFmtId="203" formatCode="0%"/>
  </x:numFmts>
  <x:fonts count="11">
    <x:font>
      <x:sz val="11"/>
      <x:name val="Carlito"/>
    </x:font>
    <x:font>
      <x:b/>
      <x:sz val="18"/>
      <x:color rgb="FFFFFFFF"/>
      <x:name val="Carlito"/>
    </x:font>
    <x:font>
      <x:sz val="11"/>
      <x:color rgb="FF546E7A"/>
      <x:name val="Carlito"/>
    </x:font>
    <x:font>
      <x:b/>
      <x:sz val="11"/>
      <x:color rgb="FFFFFFFF"/>
      <x:name val="Carlito"/>
    </x:font>
    <x:font>
      <x:b/>
      <x:sz val="11"/>
      <x:color rgb="FF18323F"/>
      <x:name val="Carlito"/>
    </x:font>
    <x:font>
      <x:b/>
      <x:sz val="11"/>
      <x:name val="Carlito"/>
    </x:font>
    <x:font>
      <x:b/>
      <x:sz val="15"/>
      <x:color rgb="FF2E5B31"/>
      <x:name val="Carlito"/>
    </x:font>
    <x:font>
      <x:b/>
      <x:sz val="14"/>
      <x:color rgb="FF174A67"/>
      <x:name val="Carlito"/>
    </x:font>
    <x:font>
      <x:b/>
      <x:sz val="13"/>
      <x:color rgb="FF7A5B00"/>
      <x:name val="Carlito"/>
    </x:font>
    <x:font>
      <x:b/>
      <x:sz val="12"/>
      <x:color rgb="FF174A67"/>
      <x:name val="Carlito"/>
    </x:font>
    <x:font>
      <x:sz val="11"/>
      <x:color rgb="FF7A5B0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4A67"/>
      </x:patternFill>
    </x:fill>
    <x:fill>
      <x:patternFill patternType="solid">
        <x:fgColor rgb="FFF3F6F8"/>
      </x:patternFill>
    </x:fill>
    <x:fill>
      <x:patternFill patternType="solid">
        <x:fgColor rgb="FF3E7FA6"/>
      </x:patternFill>
    </x:fill>
    <x:fill>
      <x:patternFill patternType="solid">
        <x:fgColor rgb="FFFFF2CC"/>
      </x:patternFill>
    </x:fill>
    <x:fill>
      <x:patternFill patternType="solid">
        <x:fgColor rgb="FFF8D8C3"/>
      </x:patternFill>
    </x:fill>
    <x:fill>
      <x:patternFill patternType="solid">
        <x:fgColor rgb="FFD8E9F5"/>
      </x:patternFill>
    </x:fill>
    <x:fill>
      <x:patternFill patternType="solid">
        <x:fgColor rgb="FFDCECCF"/>
      </x:patternFill>
    </x:fill>
    <x:fill>
      <x:patternFill patternType="solid">
        <x:fgColor rgb="FFE2F0D9"/>
      </x:patternFill>
    </x:fill>
    <x:fill>
      <x:patternFill patternType="solid">
        <x:fgColor rgb="FFDCECF5"/>
      </x:patternFill>
    </x:fill>
    <x:fill>
      <x:patternFill patternType="solid">
        <x:fgColor rgb="FFFFF8E7"/>
      </x:patternFill>
    </x:fill>
    <x:fill>
      <x:patternFill patternType="solid">
        <x:fgColor rgb="FFFFF3F1"/>
      </x:patternFill>
    </x:fill>
  </x:fills>
  <x:borders count="26">
    <x:border/>
    <x:border>
      <x:left style="thin">
        <x:color rgb="FFB8C8D3"/>
      </x:left>
      <x:right style="thin">
        <x:color rgb="FFB8C8D3"/>
      </x:right>
      <x:top style="thin">
        <x:color rgb="FFB8C8D3"/>
      </x:top>
      <x:bottom style="thin">
        <x:color rgb="FFB8C8D3"/>
      </x:bottom>
    </x:border>
    <x:border>
      <x:bottom style="double">
        <x:color rgb="FF174A67"/>
      </x:bottom>
    </x:border>
    <x:border>
      <x:left style="medium">
        <x:color rgb="FF7DAA7A"/>
      </x:left>
      <x:top style="medium">
        <x:color rgb="FF7DAA7A"/>
      </x:top>
      <x:bottom style="medium">
        <x:color rgb="FF7DAA7A"/>
      </x:bottom>
    </x:border>
    <x:border>
      <x:right style="medium">
        <x:color rgb="FF7DAA7A"/>
      </x:right>
      <x:top style="medium">
        <x:color rgb="FF7DAA7A"/>
      </x:top>
      <x:bottom style="medium">
        <x:color rgb="FF7DAA7A"/>
      </x:bottom>
    </x:border>
    <x:border>
      <x:left style="medium">
        <x:color rgb="FF3E7FA6"/>
      </x:left>
      <x:top style="medium">
        <x:color rgb="FF3E7FA6"/>
      </x:top>
      <x:bottom style="medium">
        <x:color rgb="FF3E7FA6"/>
      </x:bottom>
    </x:border>
    <x:border>
      <x:right style="medium">
        <x:color rgb="FF3E7FA6"/>
      </x:right>
      <x:top style="medium">
        <x:color rgb="FF3E7FA6"/>
      </x:top>
      <x:bottom style="medium">
        <x:color rgb="FF3E7FA6"/>
      </x:bottom>
    </x:border>
    <x:border>
      <x:left style="medium">
        <x:color rgb="FFD6B656"/>
      </x:left>
      <x:top style="medium">
        <x:color rgb="FFD6B656"/>
      </x:top>
      <x:bottom style="medium">
        <x:color rgb="FFD6B656"/>
      </x:bottom>
    </x:border>
    <x:border>
      <x:right style="medium">
        <x:color rgb="FFD6B656"/>
      </x:right>
      <x:top style="medium">
        <x:color rgb="FFD6B656"/>
      </x:top>
      <x:bottom style="medium">
        <x:color rgb="FFD6B656"/>
      </x:bottom>
    </x:border>
    <x:border>
      <x:right style="thin">
        <x:color rgb="FFE5D7A7"/>
      </x:right>
      <x:bottom style="thin">
        <x:color rgb="FFE5D7A7"/>
      </x:bottom>
    </x:border>
    <x:border>
      <x:left style="thin">
        <x:color rgb="FFE5D7A7"/>
      </x:left>
      <x:right style="thin">
        <x:color rgb="FFE5D7A7"/>
      </x:right>
      <x:bottom style="thin">
        <x:color rgb="FFE5D7A7"/>
      </x:bottom>
    </x:border>
    <x:border>
      <x:left style="thin">
        <x:color rgb="FFE5D7A7"/>
      </x:left>
      <x:bottom style="thin">
        <x:color rgb="FFE5D7A7"/>
      </x:bottom>
    </x:border>
    <x:border>
      <x:right style="thin">
        <x:color rgb="FFE5D7A7"/>
      </x:right>
      <x:top style="thin">
        <x:color rgb="FFE5D7A7"/>
      </x:top>
      <x:bottom style="thin">
        <x:color rgb="FFE5D7A7"/>
      </x:bottom>
    </x:border>
    <x:border>
      <x:left style="thin">
        <x:color rgb="FFE5D7A7"/>
      </x:left>
      <x:right style="thin">
        <x:color rgb="FFE5D7A7"/>
      </x:right>
      <x:top style="thin">
        <x:color rgb="FFE5D7A7"/>
      </x:top>
      <x:bottom style="thin">
        <x:color rgb="FFE5D7A7"/>
      </x:bottom>
    </x:border>
    <x:border>
      <x:left style="thin">
        <x:color rgb="FFE5D7A7"/>
      </x:left>
      <x:top style="thin">
        <x:color rgb="FFE5D7A7"/>
      </x:top>
      <x:bottom style="thin">
        <x:color rgb="FFE5D7A7"/>
      </x:bottom>
    </x:border>
    <x:border>
      <x:right style="thin">
        <x:color rgb="FFE5D7A7"/>
      </x:right>
      <x:top style="thin">
        <x:color rgb="FFE5D7A7"/>
      </x:top>
    </x:border>
    <x:border>
      <x:left style="thin">
        <x:color rgb="FFE5D7A7"/>
      </x:left>
      <x:right style="thin">
        <x:color rgb="FFE5D7A7"/>
      </x:right>
      <x:top style="thin">
        <x:color rgb="FFE5D7A7"/>
      </x:top>
    </x:border>
    <x:border>
      <x:left style="thin">
        <x:color rgb="FFE5D7A7"/>
      </x:left>
      <x:top style="thin">
        <x:color rgb="FFE5D7A7"/>
      </x:top>
    </x:border>
    <x:border>
      <x:right style="thin">
        <x:color rgb="FFB8C8D3"/>
      </x:right>
      <x:bottom style="thin">
        <x:color rgb="FFB8C8D3"/>
      </x:bottom>
    </x:border>
    <x:border>
      <x:left style="thin">
        <x:color rgb="FFB8C8D3"/>
      </x:left>
      <x:right style="thin">
        <x:color rgb="FFB8C8D3"/>
      </x:right>
      <x:bottom style="thin">
        <x:color rgb="FFB8C8D3"/>
      </x:bottom>
    </x:border>
    <x:border>
      <x:left style="thin">
        <x:color rgb="FFB8C8D3"/>
      </x:left>
      <x:bottom style="thin">
        <x:color rgb="FFB8C8D3"/>
      </x:bottom>
    </x:border>
    <x:border>
      <x:right style="thin">
        <x:color rgb="FFB8C8D3"/>
      </x:right>
      <x:top style="thin">
        <x:color rgb="FFB8C8D3"/>
      </x:top>
      <x:bottom style="thin">
        <x:color rgb="FFB8C8D3"/>
      </x:bottom>
    </x:border>
    <x:border>
      <x:left style="thin">
        <x:color rgb="FFB8C8D3"/>
      </x:left>
      <x:top style="thin">
        <x:color rgb="FFB8C8D3"/>
      </x:top>
      <x:bottom style="thin">
        <x:color rgb="FFB8C8D3"/>
      </x:bottom>
    </x:border>
    <x:border>
      <x:right style="thin">
        <x:color rgb="FFB8C8D3"/>
      </x:right>
      <x:top style="thin">
        <x:color rgb="FFB8C8D3"/>
      </x:top>
    </x:border>
    <x:border>
      <x:left style="thin">
        <x:color rgb="FFB8C8D3"/>
      </x:left>
      <x:right style="thin">
        <x:color rgb="FFB8C8D3"/>
      </x:right>
      <x:top style="thin">
        <x:color rgb="FFB8C8D3"/>
      </x:top>
    </x:border>
    <x:border>
      <x:left style="thin">
        <x:color rgb="FFB8C8D3"/>
      </x:left>
      <x:top style="thin">
        <x:color rgb="FFB8C8D3"/>
      </x:top>
    </x:border>
  </x:borders>
  <x:cellStyleXfs count="1">
    <x:xf numFmtId="0" fontId="0" fillId="0" borderId="0"/>
  </x:cellStyleXfs>
  <x:cellXfs count="1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0" fillId="0" borderId="1" xfId="0" applyNumberFormat="1" applyFont="1" applyFill="1" applyBorder="1"/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0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0" fillId="8" borderId="1" xfId="0" applyNumberFormat="1" applyFont="1" applyFill="1" applyBorder="1"/>
    <x:xf numFmtId="0" fontId="0" fillId="7" borderId="1" xfId="0" applyNumberFormat="1" applyFont="1" applyFill="1" applyBorder="1"/>
    <x:xf numFmtId="0" fontId="0" fillId="6" borderId="1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202" fontId="0" fillId="6" borderId="1" xfId="0" applyNumberFormat="1" applyFont="1" applyFill="1" applyBorder="1" applyAlignment="1">
      <x:alignment vertical="center"/>
    </x:xf>
    <x:xf numFmtId="202" fontId="0" fillId="8" borderId="1" xfId="0" applyNumberFormat="1" applyFont="1" applyFill="1" applyBorder="1" applyAlignment="1">
      <x:alignment vertical="center"/>
    </x:xf>
    <x:xf numFmtId="202" fontId="0" fillId="7" borderId="1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horizontal="right" vertical="center"/>
    </x:xf>
    <x:xf numFmtId="202" fontId="0" fillId="6" borderId="1" xfId="0" applyNumberFormat="1" applyFont="1" applyFill="1" applyBorder="1" applyAlignment="1">
      <x:alignment horizontal="right" vertical="center"/>
    </x:xf>
    <x:xf numFmtId="0" fontId="0" fillId="8" borderId="1" xfId="0" applyNumberFormat="1" applyFont="1" applyFill="1" applyBorder="1" applyAlignment="1">
      <x:alignment horizontal="right" vertical="center"/>
    </x:xf>
    <x:xf numFmtId="202" fontId="0" fillId="8" borderId="1" xfId="0" applyNumberFormat="1" applyFont="1" applyFill="1" applyBorder="1" applyAlignment="1">
      <x:alignment horizontal="right" vertical="center"/>
    </x:xf>
    <x:xf numFmtId="0" fontId="0" fillId="7" borderId="1" xfId="0" applyNumberFormat="1" applyFont="1" applyFill="1" applyBorder="1" applyAlignment="1">
      <x:alignment horizontal="right" vertical="center"/>
    </x:xf>
    <x:xf numFmtId="202" fontId="0" fillId="7" borderId="1" xfId="0" applyNumberFormat="1" applyFont="1" applyFill="1" applyBorder="1" applyAlignment="1">
      <x:alignment horizontal="right" vertical="center"/>
    </x:xf>
    <x:xf numFmtId="0" fontId="0" fillId="5" borderId="1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2" xfId="0" applyNumberFormat="1" applyFont="1" applyFill="1" applyBorder="1"/>
    <x:xf numFmtId="202" fontId="4" fillId="9" borderId="2" xfId="0" applyNumberFormat="1" applyFont="1" applyFill="1" applyBorder="1"/>
    <x:xf numFmtId="0" fontId="6" fillId="9" borderId="0" xfId="0" applyNumberFormat="1" applyFont="1" applyFill="1" applyBorder="1"/>
    <x:xf numFmtId="0" fontId="6" fillId="9" borderId="3" xfId="0" applyNumberFormat="1" applyFont="1" applyFill="1" applyBorder="1"/>
    <x:xf numFmtId="0" fontId="6" fillId="9" borderId="4" xfId="0" applyNumberFormat="1" applyFont="1" applyFill="1" applyBorder="1"/>
    <x:xf numFmtId="202" fontId="6" fillId="9" borderId="4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5" xfId="0" applyNumberFormat="1" applyFont="1" applyFill="1" applyBorder="1"/>
    <x:xf numFmtId="0" fontId="7" fillId="10" borderId="6" xfId="0" applyNumberFormat="1" applyFont="1" applyFill="1" applyBorder="1"/>
    <x:xf numFmtId="0" fontId="8" fillId="5" borderId="0" xfId="0" applyNumberFormat="1" applyFont="1" applyFill="1" applyBorder="1"/>
    <x:xf numFmtId="0" fontId="8" fillId="5" borderId="7" xfId="0" applyNumberFormat="1" applyFont="1" applyFill="1" applyBorder="1"/>
    <x:xf numFmtId="0" fontId="8" fillId="5" borderId="8" xfId="0" applyNumberFormat="1" applyFont="1" applyFill="1" applyBorder="1"/>
    <x:xf numFmtId="202" fontId="8" fillId="5" borderId="8" xfId="0" applyNumberFormat="1" applyFont="1" applyFill="1" applyBorder="1"/>
    <x:xf numFmtId="0" fontId="5" fillId="9" borderId="0" xfId="0" applyNumberFormat="1" applyFont="1" applyFill="1" applyBorder="1"/>
    <x:xf numFmtId="0" fontId="5" fillId="9" borderId="2" xfId="0" applyNumberFormat="1" applyFont="1" applyFill="1" applyBorder="1"/>
    <x:xf numFmtId="202" fontId="0" fillId="6" borderId="0" xfId="0" applyNumberFormat="1" applyFont="1" applyFill="1" applyBorder="1"/>
    <x:xf numFmtId="202" fontId="0" fillId="7" borderId="0" xfId="0" applyNumberFormat="1" applyFont="1" applyFill="1" applyBorder="1"/>
    <x:xf numFmtId="202" fontId="0" fillId="8" borderId="0" xfId="0" applyNumberFormat="1" applyFont="1" applyFill="1" applyBorder="1"/>
    <x:xf numFmtId="202" fontId="5" fillId="9" borderId="2" xfId="0" applyNumberFormat="1" applyFont="1" applyFill="1" applyBorder="1"/>
    <x:xf numFmtId="201" fontId="0" fillId="6" borderId="0" xfId="0" applyNumberFormat="1" applyFont="1" applyFill="1" applyBorder="1"/>
    <x:xf numFmtId="201" fontId="0" fillId="7" borderId="0" xfId="0" applyNumberFormat="1" applyFont="1" applyFill="1" applyBorder="1"/>
    <x:xf numFmtId="201" fontId="0" fillId="8" borderId="0" xfId="0" applyNumberFormat="1" applyFont="1" applyFill="1" applyBorder="1"/>
    <x:xf numFmtId="201" fontId="5" fillId="9" borderId="2" xfId="0" applyNumberFormat="1" applyFont="1" applyFill="1" applyBorder="1"/>
    <x:xf numFmtId="202" fontId="0" fillId="6" borderId="1" xfId="0" applyNumberFormat="1" applyFont="1" applyFill="1" applyBorder="1"/>
    <x:xf numFmtId="201" fontId="0" fillId="6" borderId="1" xfId="0" applyNumberFormat="1" applyFont="1" applyFill="1" applyBorder="1"/>
    <x:xf numFmtId="202" fontId="0" fillId="7" borderId="1" xfId="0" applyNumberFormat="1" applyFont="1" applyFill="1" applyBorder="1"/>
    <x:xf numFmtId="201" fontId="0" fillId="7" borderId="1" xfId="0" applyNumberFormat="1" applyFont="1" applyFill="1" applyBorder="1"/>
    <x:xf numFmtId="202" fontId="0" fillId="8" borderId="1" xfId="0" applyNumberFormat="1" applyFont="1" applyFill="1" applyBorder="1"/>
    <x:xf numFmtId="201" fontId="0" fillId="8" borderId="1" xfId="0" applyNumberFormat="1" applyFont="1" applyFill="1" applyBorder="1"/>
    <x:xf numFmtId="0" fontId="5" fillId="9" borderId="1" xfId="0" applyNumberFormat="1" applyFont="1" applyFill="1" applyBorder="1"/>
    <x:xf numFmtId="202" fontId="5" fillId="9" borderId="1" xfId="0" applyNumberFormat="1" applyFont="1" applyFill="1" applyBorder="1"/>
    <x:xf numFmtId="201" fontId="5" fillId="9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2" fontId="0" fillId="7" borderId="1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202" fontId="0" fillId="8" borderId="1" xfId="0" applyNumberFormat="1" applyFont="1" applyFill="1" applyBorder="1" applyAlignment="1">
      <x:alignment wrapText="1"/>
    </x:xf>
    <x:xf numFmtId="201" fontId="0" fillId="8" borderId="1" xfId="0" applyNumberFormat="1" applyFont="1" applyFill="1" applyBorder="1" applyAlignment="1">
      <x:alignment wrapText="1"/>
    </x:xf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11" borderId="0" xfId="0" applyNumberFormat="1" applyFont="1" applyFill="1" applyBorder="1"/>
    <x:xf numFmtId="0" fontId="0" fillId="11" borderId="9" xfId="0" applyNumberFormat="1" applyFont="1" applyFill="1" applyBorder="1"/>
    <x:xf numFmtId="0" fontId="0" fillId="11" borderId="10" xfId="0" applyNumberFormat="1" applyFont="1" applyFill="1" applyBorder="1"/>
    <x:xf numFmtId="0" fontId="0" fillId="11" borderId="11" xfId="0" applyNumberFormat="1" applyFont="1" applyFill="1" applyBorder="1"/>
    <x:xf numFmtId="0" fontId="0" fillId="11" borderId="12" xfId="0" applyNumberFormat="1" applyFont="1" applyFill="1" applyBorder="1"/>
    <x:xf numFmtId="0" fontId="0" fillId="11" borderId="13" xfId="0" applyNumberFormat="1" applyFont="1" applyFill="1" applyBorder="1"/>
    <x:xf numFmtId="0" fontId="0" fillId="11" borderId="14" xfId="0" applyNumberFormat="1" applyFont="1" applyFill="1" applyBorder="1"/>
    <x:xf numFmtId="0" fontId="0" fillId="11" borderId="15" xfId="0" applyNumberFormat="1" applyFont="1" applyFill="1" applyBorder="1"/>
    <x:xf numFmtId="0" fontId="0" fillId="11" borderId="16" xfId="0" applyNumberFormat="1" applyFont="1" applyFill="1" applyBorder="1"/>
    <x:xf numFmtId="0" fontId="0" fillId="11" borderId="17" xfId="0" applyNumberFormat="1" applyFont="1" applyFill="1" applyBorder="1"/>
    <x:xf numFmtId="0" fontId="0" fillId="11" borderId="9" xfId="0" applyNumberFormat="1" applyFont="1" applyFill="1" applyBorder="1" applyAlignment="1">
      <x:alignment wrapText="1"/>
    </x:xf>
    <x:xf numFmtId="0" fontId="0" fillId="11" borderId="10" xfId="0" applyNumberFormat="1" applyFont="1" applyFill="1" applyBorder="1" applyAlignment="1">
      <x:alignment wrapText="1"/>
    </x:xf>
    <x:xf numFmtId="0" fontId="0" fillId="11" borderId="11" xfId="0" applyNumberFormat="1" applyFont="1" applyFill="1" applyBorder="1" applyAlignment="1">
      <x:alignment wrapText="1"/>
    </x:xf>
    <x:xf numFmtId="0" fontId="0" fillId="11" borderId="12" xfId="0" applyNumberFormat="1" applyFont="1" applyFill="1" applyBorder="1" applyAlignment="1">
      <x:alignment wrapText="1"/>
    </x:xf>
    <x:xf numFmtId="0" fontId="0" fillId="11" borderId="13" xfId="0" applyNumberFormat="1" applyFont="1" applyFill="1" applyBorder="1" applyAlignment="1">
      <x:alignment wrapText="1"/>
    </x:xf>
    <x:xf numFmtId="0" fontId="0" fillId="11" borderId="14" xfId="0" applyNumberFormat="1" applyFont="1" applyFill="1" applyBorder="1" applyAlignment="1">
      <x:alignment wrapText="1"/>
    </x:xf>
    <x:xf numFmtId="0" fontId="0" fillId="11" borderId="15" xfId="0" applyNumberFormat="1" applyFont="1" applyFill="1" applyBorder="1" applyAlignment="1">
      <x:alignment wrapText="1"/>
    </x:xf>
    <x:xf numFmtId="0" fontId="0" fillId="11" borderId="16" xfId="0" applyNumberFormat="1" applyFont="1" applyFill="1" applyBorder="1" applyAlignment="1">
      <x:alignment wrapText="1"/>
    </x:xf>
    <x:xf numFmtId="0" fontId="0" fillId="11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0" fillId="12" borderId="1" xfId="0" applyNumberFormat="1" applyFont="1" applyFill="1" applyBorder="1"/>
    <x:xf numFmtId="0" fontId="0" fillId="1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vertical="center"/>
    </x:xf>
    <x:xf numFmtId="202" fontId="6" fillId="9" borderId="4" xfId="0" applyNumberFormat="1" applyFont="1" applyFill="1" applyBorder="1" applyAlignment="1">
      <x:alignment vertical="center"/>
    </x:xf>
    <x:xf numFmtId="0" fontId="7" fillId="10" borderId="5" xfId="0" applyNumberFormat="1" applyFont="1" applyFill="1" applyBorder="1" applyAlignment="1">
      <x:alignment vertical="center"/>
    </x:xf>
    <x:xf numFmtId="0" fontId="7" fillId="10" borderId="6" xfId="0" applyNumberFormat="1" applyFont="1" applyFill="1" applyBorder="1" applyAlignment="1">
      <x:alignment vertical="center"/>
    </x:xf>
    <x:xf numFmtId="0" fontId="8" fillId="5" borderId="7" xfId="0" applyNumberFormat="1" applyFont="1" applyFill="1" applyBorder="1" applyAlignment="1">
      <x:alignment vertical="center"/>
    </x:xf>
    <x:xf numFmtId="202" fontId="8" fillId="5" borderId="8" xfId="0" applyNumberFormat="1" applyFont="1" applyFill="1" applyBorder="1" applyAlignment="1">
      <x:alignment vertical="center"/>
    </x:xf>
    <x:xf numFmtId="202" fontId="0" fillId="6" borderId="1" xfId="0" applyNumberFormat="1" applyFont="1" applyFill="1" applyBorder="1" applyAlignment="1">
      <x:alignment vertical="center" wrapText="1"/>
    </x:xf>
    <x:xf numFmtId="201" fontId="0" fillId="6" borderId="1" xfId="0" applyNumberFormat="1" applyFont="1" applyFill="1" applyBorder="1" applyAlignment="1">
      <x:alignment vertical="center" wrapText="1"/>
    </x:xf>
    <x:xf numFmtId="202" fontId="0" fillId="7" borderId="1" xfId="0" applyNumberFormat="1" applyFont="1" applyFill="1" applyBorder="1" applyAlignment="1">
      <x:alignment vertical="center" wrapText="1"/>
    </x:xf>
    <x:xf numFmtId="201" fontId="0" fillId="7" borderId="1" xfId="0" applyNumberFormat="1" applyFont="1" applyFill="1" applyBorder="1" applyAlignment="1">
      <x:alignment vertical="center" wrapText="1"/>
    </x:xf>
    <x:xf numFmtId="202" fontId="0" fillId="8" borderId="1" xfId="0" applyNumberFormat="1" applyFont="1" applyFill="1" applyBorder="1" applyAlignment="1">
      <x:alignment vertical="center" wrapText="1"/>
    </x:xf>
    <x:xf numFmtId="201" fontId="0" fillId="8" borderId="1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 applyAlignment="1">
      <x:alignment vertical="center"/>
    </x:xf>
    <x:xf numFmtId="202" fontId="5" fillId="9" borderId="1" xfId="0" applyNumberFormat="1" applyFont="1" applyFill="1" applyBorder="1" applyAlignment="1">
      <x:alignment vertical="center"/>
    </x:xf>
    <x:xf numFmtId="201" fontId="5" fillId="9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0" fillId="11" borderId="9" xfId="0" applyNumberFormat="1" applyFont="1" applyFill="1" applyBorder="1" applyAlignment="1">
      <x:alignment vertical="center" wrapText="1"/>
    </x:xf>
    <x:xf numFmtId="0" fontId="0" fillId="11" borderId="10" xfId="0" applyNumberFormat="1" applyFont="1" applyFill="1" applyBorder="1" applyAlignment="1">
      <x:alignment vertical="center" wrapText="1"/>
    </x:xf>
    <x:xf numFmtId="0" fontId="0" fillId="11" borderId="11" xfId="0" applyNumberFormat="1" applyFont="1" applyFill="1" applyBorder="1" applyAlignment="1">
      <x:alignment vertical="center" wrapText="1"/>
    </x:xf>
    <x:xf numFmtId="0" fontId="0" fillId="11" borderId="12" xfId="0" applyNumberFormat="1" applyFont="1" applyFill="1" applyBorder="1" applyAlignment="1">
      <x:alignment vertical="center" wrapText="1"/>
    </x:xf>
    <x:xf numFmtId="0" fontId="0" fillId="11" borderId="13" xfId="0" applyNumberFormat="1" applyFont="1" applyFill="1" applyBorder="1" applyAlignment="1">
      <x:alignment vertical="center" wrapText="1"/>
    </x:xf>
    <x:xf numFmtId="0" fontId="0" fillId="11" borderId="14" xfId="0" applyNumberFormat="1" applyFont="1" applyFill="1" applyBorder="1" applyAlignment="1">
      <x:alignment vertical="center" wrapText="1"/>
    </x:xf>
    <x:xf numFmtId="0" fontId="0" fillId="11" borderId="15" xfId="0" applyNumberFormat="1" applyFont="1" applyFill="1" applyBorder="1" applyAlignment="1">
      <x:alignment vertical="center" wrapText="1"/>
    </x:xf>
    <x:xf numFmtId="0" fontId="0" fillId="11" borderId="16" xfId="0" applyNumberFormat="1" applyFont="1" applyFill="1" applyBorder="1" applyAlignment="1">
      <x:alignment vertical="center" wrapText="1"/>
    </x:xf>
    <x:xf numFmtId="0" fontId="0" fillId="11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 wrapText="1"/>
    </x:xf>
    <x:xf numFmtId="0" fontId="0" fillId="1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45e70db48f4803" /><Relationship Type="http://schemas.openxmlformats.org/officeDocument/2006/relationships/theme" Target="/xl/theme/theme1.xml" Id="Rd04e083b8d1b448a" /><Relationship Type="http://schemas.openxmlformats.org/officeDocument/2006/relationships/sharedStrings" Target="/xl/sharedStrings.xml" Id="Recd3555e7a6f4a28" /><Relationship Type="http://schemas.openxmlformats.org/officeDocument/2006/relationships/worksheet" Target="/xl/worksheets/sheet1.xml" Id="Rf8c33b7271d64b47" /><Relationship Type="http://schemas.openxmlformats.org/officeDocument/2006/relationships/worksheet" Target="/xl/worksheets/sheet2.xml" Id="R65a40604ef934600" /><Relationship Type="http://schemas.openxmlformats.org/officeDocument/2006/relationships/worksheet" Target="/xl/worksheets/sheet3.xml" Id="R26cf1a4bdfcd4900" /><Relationship Type="http://schemas.openxmlformats.org/officeDocument/2006/relationships/worksheet" Target="/xl/worksheets/sheet4.xml" Id="R4bf8641fadaa445e" /><Relationship Type="http://schemas.openxmlformats.org/officeDocument/2006/relationships/worksheet" Target="/xl/worksheets/sheet5.xml" Id="Rc4dfdbb96d3043fd" /><Relationship Type="http://schemas.openxmlformats.org/officeDocument/2006/relationships/worksheet" Target="/xl/worksheets/sheet6.xml" Id="Rf3896825c05d4a5d" /><Relationship Type="http://schemas.openxmlformats.org/officeDocument/2006/relationships/worksheet" Target="/xl/worksheets/sheet7.xml" Id="R09454814be5e43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530c7ab6baf40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各阶段建议报价（万元）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含税金额（万元）</c:v>
          </c:tx>
          <c:cat>
            <c:strRef>
              <c:f>'商务报价总览'!$J$7:$J$9</c:f>
              <c:strCache>
                <c:ptCount val="0"/>
              </c:strCache>
            </c:strRef>
          </c:cat>
          <c:val>
            <c:numRef>
              <c:f>'商务报价总览'!$K$7:$K$9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0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30c7ab6baf40b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earchFeatureSelection" displayName="ResearchFeatureSelection" ref="A5:M96" headerRowCount="1" totalsRowCount="0" totalsRowShown="0">
  <x:tableColumns count="13">
    <x:tableColumn id="1" name="需求编号"/>
    <x:tableColumn id="2" name="一级模块"/>
    <x:tableColumn id="3" name="二级功能"/>
    <x:tableColumn id="4" name="功能与交付说明"/>
    <x:tableColumn id="5" name="实施阶段"/>
    <x:tableColumn id="6" name="优先级"/>
    <x:tableColumn id="7" name="采购建议"/>
    <x:tableColumn id="8" name="交付形态"/>
    <x:tableColumn id="9" name="验收要点"/>
    <x:tableColumn id="10" name="估算人日"/>
    <x:tableColumn id="11" name="单项含税建议金额（万元）"/>
    <x:tableColumn id="12" name="甲方选择"/>
    <x:tableColumn id="13" name="甲方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2fd5a8028ec44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2ac5a40a0364a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58" hidden="0" customWidth="1"/>
  </x:cols>
  <x:sheetData>
    <x:row r="1" ht="34" customHeight="1">
      <x:c r="A1" s="4" t="str">
        <x:v>HospitalAI 医学科研智能平台报价参数</x:v>
      </x:c>
      <x:c r="B1" s="4" t="str">
        <x:v>HospitalAI 医学科研智能平台报价参数</x:v>
      </x:c>
      <x:c r="C1" s="4" t="str">
        <x:v>HospitalAI 医学科研智能平台报价参数</x:v>
      </x:c>
      <x:c r="D1" s="4" t="str">
        <x:v>HospitalAI 医学科研智能平台报价参数</x:v>
      </x:c>
    </x:row>
    <x:row r="2">
      <x:c r="A2" s="7" t="str">
        <x:v>黄色单元格为商务可调整参数；本表为谈判测算底稿，最终价格以双方确认的范围、接口现状和合同为准。</x:v>
      </x:c>
      <x:c r="B2" s="7" t="str">
        <x:v>黄色单元格为商务可调整参数；本表为谈判测算底稿，最终价格以双方确认的范围、接口现状和合同为准。</x:v>
      </x:c>
      <x:c r="C2" s="7" t="str">
        <x:v>黄色单元格为商务可调整参数；本表为谈判测算底稿，最终价格以双方确认的范围、接口现状和合同为准。</x:v>
      </x:c>
      <x:c r="D2" s="7" t="str">
        <x:v>黄色单元格为商务可调整参数；本表为谈判测算底稿，最终价格以双方确认的范围、接口现状和合同为准。</x:v>
      </x:c>
    </x:row>
    <x:row r="4" ht="30" customHeight="1">
      <x:c r="A4" s="13" t="str">
        <x:v>参数</x:v>
      </x:c>
      <x:c r="B4" s="13" t="str">
        <x:v>建议值</x:v>
      </x:c>
      <x:c r="C4" s="13" t="str">
        <x:v>单位/选项</x:v>
      </x:c>
      <x:c r="D4" s="13" t="str">
        <x:v>说明</x:v>
      </x:c>
    </x:row>
    <x:row r="5">
      <x:c r="A5" s="25" t="str">
        <x:v>综合人日单价</x:v>
      </x:c>
      <x:c r="B5" s="22" t="n">
        <x:v>3200</x:v>
      </x:c>
      <x:c r="C5" s="21" t="str">
        <x:v>元/人日</x:v>
      </x:c>
      <x:c r="D5" s="21" t="str">
        <x:v>包含产品、研发、测试、项目管理等综合测算，不代表市场统一价格。</x:v>
      </x:c>
    </x:row>
    <x:row r="6">
      <x:c r="A6" s="25" t="str">
        <x:v>商务折扣系数</x:v>
      </x:c>
      <x:c r="B6" s="23" t="n">
        <x:v>0.92</x:v>
      </x:c>
      <x:c r="C6" s="21" t="str">
        <x:v>系数</x:v>
      </x:c>
      <x:c r="D6" s="21" t="str">
        <x:v>谈判折扣，可调整为 0.80-1.00。</x:v>
      </x:c>
    </x:row>
    <x:row r="7">
      <x:c r="A7" s="25" t="str">
        <x:v>增值税率</x:v>
      </x:c>
      <x:c r="B7" s="23" t="n">
        <x:v>0.06</x:v>
      </x:c>
      <x:c r="C7" s="21" t="str">
        <x:v>比例</x:v>
      </x:c>
      <x:c r="D7" s="21" t="str">
        <x:v>按拟采用的合同及发票类型由财务确认。</x:v>
      </x:c>
    </x:row>
    <x:row r="8">
      <x:c r="A8" s="25" t="str">
        <x:v>免费质保期</x:v>
      </x:c>
      <x:c r="B8" s="24" t="n">
        <x:v>12</x:v>
      </x:c>
      <x:c r="C8" s="21" t="str">
        <x:v>月</x:v>
      </x:c>
      <x:c r="D8" s="21" t="str">
        <x:v>自项目终验之日起计算。</x:v>
      </x:c>
    </x:row>
    <x:row r="9">
      <x:c r="A9" s="25" t="str">
        <x:v>质保后年运维费率</x:v>
      </x:c>
      <x:c r="B9" s="23" t="n">
        <x:v>0.15</x:v>
      </x:c>
      <x:c r="C9" s="21" t="str">
        <x:v>软件合同额比例</x:v>
      </x:c>
      <x:c r="D9" s="21" t="str">
        <x:v>不含服务器、GPU、第三方软件和专项科研服务。</x:v>
      </x:c>
    </x:row>
    <x:row r="10">
      <x:c r="A10" s="25" t="str">
        <x:v>报价有效期</x:v>
      </x:c>
      <x:c r="B10" s="24" t="n">
        <x:v>30</x:v>
      </x:c>
      <x:c r="C10" s="21" t="str">
        <x:v>天</x:v>
      </x:c>
      <x:c r="D10" s="21" t="str">
        <x:v>自正式报价单签发日起计算。</x:v>
      </x:c>
    </x:row>
    <x:row r="11">
      <x:c r="A11" s="25" t="str">
        <x:v>一期计划周期</x:v>
      </x:c>
      <x:c r="B11" s="24" t="n">
        <x:v>14</x:v>
      </x:c>
      <x:c r="C11" s="21" t="str">
        <x:v>周</x:v>
      </x:c>
      <x:c r="D11" s="21" t="str">
        <x:v>以需求冻结、环境就绪和甲方配合及时为前提。</x:v>
      </x:c>
    </x:row>
    <x:row r="12">
      <x:c r="A12" s="25" t="str">
        <x:v>二期计划周期</x:v>
      </x:c>
      <x:c r="B12" s="24" t="n">
        <x:v>16</x:v>
      </x:c>
      <x:c r="C12" s="21" t="str">
        <x:v>周</x:v>
      </x:c>
      <x:c r="D12" s="21" t="str">
        <x:v>接口周期需在现场调研后校准。</x:v>
      </x:c>
    </x:row>
    <x:row r="14" ht="30" customHeight="1">
      <x:c r="A14" s="13" t="str">
        <x:v>取值说明</x:v>
      </x:c>
      <x:c r="B14" s="13" t="str">
        <x:v>系统默认</x:v>
      </x:c>
      <x:c r="C14" s="13" t="str">
        <x:v>可谈判调整</x:v>
      </x:c>
      <x:c r="D14" s="13" t="str">
        <x:v>不建议调整</x:v>
      </x:c>
    </x:row>
    <x:row r="15">
      <x:c r="A15" s="21" t="str">
        <x:v>功能选择</x:v>
      </x:c>
      <x:c r="B15" s="21" t="str">
        <x:v>纳入</x:v>
      </x:c>
      <x:c r="C15" s="21" t="str">
        <x:v>纳入 / 待议 / 暂缓</x:v>
      </x:c>
      <x:c r="D15" s="21" t="str">
        <x:v>必选项原则上不应暂缓</x:v>
      </x:c>
    </x:row>
    <x:row r="16">
      <x:c r="A16" s="21" t="str">
        <x:v>分期原则</x:v>
      </x:c>
      <x:c r="B16" s="21" t="str">
        <x:v>核心平台 -&gt; 医院试点 -&gt; 增强扩展</x:v>
      </x:c>
      <x:c r="C16" s="21" t="str">
        <x:v>可按预算拆分里程碑</x:v>
      </x:c>
      <x:c r="D16" s="21" t="str">
        <x:v>不可拆断数据、统计、审核和审计主链路</x:v>
      </x:c>
    </x:row>
    <x:row r="17">
      <x:c r="A17" s="21" t="str">
        <x:v>价格口径</x:v>
      </x:c>
      <x:c r="B17" s="21" t="str">
        <x:v>含税建议金额</x:v>
      </x:c>
      <x:c r="C17" s="21" t="str">
        <x:v>可调整单价、折扣、税率和功能选择</x:v>
      </x:c>
      <x:c r="D17" s="21" t="str">
        <x:v>第三方费用另计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8" hidden="0" customWidth="1"/>
    <x:col min="8" max="8" width="22" hidden="0" customWidth="1"/>
  </x:cols>
  <x:sheetData>
    <x:row r="1" ht="34" customHeight="1">
      <x:c r="A1" s="4" t="str">
        <x:v>HospitalAI 医学科研智能平台分期报价建议</x:v>
      </x:c>
      <x:c r="B1" s="4" t="str">
        <x:v>HospitalAI 医学科研智能平台分期报价建议</x:v>
      </x:c>
      <x:c r="C1" s="4" t="str">
        <x:v>HospitalAI 医学科研智能平台分期报价建议</x:v>
      </x:c>
      <x:c r="D1" s="4" t="str">
        <x:v>HospitalAI 医学科研智能平台分期报价建议</x:v>
      </x:c>
      <x:c r="E1" s="4" t="str">
        <x:v>HospitalAI 医学科研智能平台分期报价建议</x:v>
      </x:c>
      <x:c r="F1" s="4" t="str">
        <x:v>HospitalAI 医学科研智能平台分期报价建议</x:v>
      </x:c>
      <x:c r="G1" s="4" t="str">
        <x:v>HospitalAI 医学科研智能平台分期报价建议</x:v>
      </x:c>
      <x:c r="H1" s="4" t="str">
        <x:v>HospitalAI 医学科研智能平台分期报价建议</x:v>
      </x:c>
      <x:c r="I1" s="143"/>
      <x:c r="J1" s="143"/>
      <x:c r="K1" s="143"/>
    </x:row>
    <x:row r="2">
      <x:c r="A2" s="144" t="str">
        <x:v>本报价依据 V1.0 PRD 和当前确认范围形成，作为医院谈判与预算测算底稿。最终报价需在现场数据源、接口、算力、安全制度和验收标准调研后确认。</x:v>
      </x:c>
      <x:c r="B2" s="144" t="str">
        <x:v>本报价依据 V1.0 PRD 和当前确认范围形成，作为医院谈判与预算测算底稿。最终报价需在现场数据源、接口、算力、安全制度和验收标准调研后确认。</x:v>
      </x:c>
      <x:c r="C2" s="144" t="str">
        <x:v>本报价依据 V1.0 PRD 和当前确认范围形成，作为医院谈判与预算测算底稿。最终报价需在现场数据源、接口、算力、安全制度和验收标准调研后确认。</x:v>
      </x:c>
      <x:c r="D2" s="144" t="str">
        <x:v>本报价依据 V1.0 PRD 和当前确认范围形成，作为医院谈判与预算测算底稿。最终报价需在现场数据源、接口、算力、安全制度和验收标准调研后确认。</x:v>
      </x:c>
      <x:c r="E2" s="144" t="str">
        <x:v>本报价依据 V1.0 PRD 和当前确认范围形成，作为医院谈判与预算测算底稿。最终报价需在现场数据源、接口、算力、安全制度和验收标准调研后确认。</x:v>
      </x:c>
      <x:c r="F2" s="144" t="str">
        <x:v>本报价依据 V1.0 PRD 和当前确认范围形成，作为医院谈判与预算测算底稿。最终报价需在现场数据源、接口、算力、安全制度和验收标准调研后确认。</x:v>
      </x:c>
      <x:c r="G2" s="144" t="str">
        <x:v>本报价依据 V1.0 PRD 和当前确认范围形成，作为医院谈判与预算测算底稿。最终报价需在现场数据源、接口、算力、安全制度和验收标准调研后确认。</x:v>
      </x:c>
      <x:c r="H2" s="144" t="str">
        <x:v>本报价依据 V1.0 PRD 和当前确认范围形成，作为医院谈判与预算测算底稿。最终报价需在现场数据源、接口、算力、安全制度和验收标准调研后确认。</x:v>
      </x:c>
      <x:c r="I2" s="143"/>
      <x:c r="J2" s="143"/>
      <x:c r="K2" s="143"/>
    </x:row>
    <x:row r="3">
      <x:c r="A3" s="143"/>
      <x:c r="B3" s="143"/>
      <x:c r="C3" s="143"/>
      <x:c r="D3" s="143"/>
      <x:c r="E3" s="143"/>
      <x:c r="F3" s="143"/>
      <x:c r="G3" s="143"/>
      <x:c r="H3" s="143"/>
      <x:c r="I3" s="143"/>
      <x:c r="J3" s="143"/>
      <x:c r="K3" s="143"/>
    </x:row>
    <x:row r="4">
      <x:c r="A4" s="145" t="str">
        <x:v>建议含税总价（万元）</x:v>
      </x:c>
      <x:c r="B4" s="146" t="n">
        <x:f>SUM(E8:E10)</x:f>
        <x:v>515.8417919999999</x:v>
      </x:c>
      <x:c r="C4" s="143"/>
      <x:c r="D4" s="147" t="str">
        <x:v>总估算人日</x:v>
      </x:c>
      <x:c r="E4" s="148" t="n">
        <x:f>SUM(D8:D10)</x:f>
        <x:v>1653</x:v>
      </x:c>
      <x:c r="F4" s="143"/>
      <x:c r="G4" s="149" t="str">
        <x:v>质保后年运维费（万元）</x:v>
      </x:c>
      <x:c r="H4" s="150" t="n">
        <x:f>B4*'报价参数'!$B$9</x:f>
        <x:v>77.37626879999999</x:v>
      </x:c>
      <x:c r="I4" s="143"/>
      <x:c r="J4" s="143"/>
      <x:c r="K4" s="143"/>
    </x:row>
    <x:row r="5">
      <x:c r="A5" s="143"/>
      <x:c r="B5" s="143"/>
      <x:c r="C5" s="143"/>
      <x:c r="D5" s="143"/>
      <x:c r="E5" s="143"/>
      <x:c r="F5" s="143"/>
      <x:c r="G5" s="143"/>
      <x:c r="H5" s="143"/>
      <x:c r="I5" s="143"/>
      <x:c r="J5" s="143"/>
      <x:c r="K5" s="143"/>
    </x:row>
    <x:row r="6">
      <x:c r="A6" s="143"/>
      <x:c r="B6" s="143"/>
      <x:c r="C6" s="143"/>
      <x:c r="D6" s="143"/>
      <x:c r="E6" s="143"/>
      <x:c r="F6" s="143"/>
      <x:c r="G6" s="143"/>
      <x:c r="H6" s="143"/>
      <x:c r="I6" s="143"/>
      <x:c r="J6" s="143" t="str">
        <x:v>阶段</x:v>
      </x:c>
      <x:c r="K6" s="143" t="str">
        <x:v>含税金额（万元）</x:v>
      </x:c>
    </x:row>
    <x:row r="7" ht="30" customHeight="1">
      <x:c r="A7" s="13" t="str">
        <x:v>实施阶段</x:v>
      </x:c>
      <x:c r="B7" s="13" t="str">
        <x:v>主要建设内容</x:v>
      </x:c>
      <x:c r="C7" s="13" t="str">
        <x:v>采购定位</x:v>
      </x:c>
      <x:c r="D7" s="13" t="str">
        <x:v>估算人日</x:v>
      </x:c>
      <x:c r="E7" s="13" t="str">
        <x:v>含税金额（万元）</x:v>
      </x:c>
      <x:c r="F7" s="13" t="str">
        <x:v>占总价比例</x:v>
      </x:c>
      <x:c r="G7" s="13" t="str">
        <x:v>建议周期</x:v>
      </x:c>
      <x:c r="H7" s="13" t="str">
        <x:v>商务备注</x:v>
      </x:c>
      <x:c r="I7" s="143"/>
      <x:c r="J7" s="143" t="str">
        <x:f>A8</x:f>
        <x:v>一期（核心平台）</x:v>
      </x:c>
      <x:c r="K7" s="143" t="n">
        <x:f>E8</x:f>
        <x:v>386.64729599999987</x:v>
      </x:c>
    </x:row>
    <x:row r="8" ht="54" customHeight="1">
      <x:c r="A8" s="41" t="str">
        <x:v>一期（核心平台）</x:v>
      </x:c>
      <x:c r="B8" s="41" t="str">
        <x:v>文件导入、项目/协议、队列变量、质控冻结、SAP、确定性统计、图表、报告、审核、ZIP、权限审计</x:v>
      </x:c>
      <x:c r="C8" s="41" t="str">
        <x:v>必须先做</x:v>
      </x:c>
      <x:c r="D8" s="41" t="n">
        <x:f>SUMIFS('功能模块选择清单'!$J$6:$J$96,'功能模块选择清单'!$E$6:$E$96,A8,'功能模块选择清单'!$L$6:$L$96,"纳入")</x:f>
        <x:v>1239</x:v>
      </x:c>
      <x:c r="E8" s="151" t="n">
        <x:f>SUMIFS('功能模块选择清单'!$K$6:$K$96,'功能模块选择清单'!$E$6:$E$96,A8,'功能模块选择清单'!$L$6:$L$96,"纳入")</x:f>
        <x:v>386.64729599999987</x:v>
      </x:c>
      <x:c r="F8" s="152" t="n">
        <x:f>IF($B$4=0,0,E8/$B$4)</x:f>
        <x:v>0.7495462794918328</x:v>
      </x:c>
      <x:c r="G8" s="41" t="str">
        <x:v>约 14 周</x:v>
      </x:c>
      <x:c r="H8" s="41" t="str">
        <x:v>建议首批合同锁定</x:v>
      </x:c>
      <x:c r="I8" s="143"/>
      <x:c r="J8" s="143" t="str">
        <x:f>A9</x:f>
        <x:v>二期（医院试点）</x:v>
      </x:c>
      <x:c r="K8" s="143" t="n">
        <x:f>E9</x:f>
        <x:v>129.19449600000002</x:v>
      </x:c>
    </x:row>
    <x:row r="9" ht="54" customHeight="1">
      <x:c r="A9" s="43" t="str">
        <x:v>二期（医院试点）</x:v>
      </x:c>
      <x:c r="B9" s="43" t="str">
        <x:v>HIS/EMR/LIS/药学接口、数据授权、知识库、模型评测、监控容灾、真实项目试点</x:v>
      </x:c>
      <x:c r="C9" s="43" t="str">
        <x:v>上线试点</x:v>
      </x:c>
      <x:c r="D9" s="43" t="n">
        <x:f>SUMIFS('功能模块选择清单'!$J$6:$J$96,'功能模块选择清单'!$E$6:$E$96,A9,'功能模块选择清单'!$L$6:$L$96,"纳入")</x:f>
        <x:v>414</x:v>
      </x:c>
      <x:c r="E9" s="153" t="n">
        <x:f>SUMIFS('功能模块选择清单'!$K$6:$K$96,'功能模块选择清单'!$E$6:$E$96,A9,'功能模块选择清单'!$L$6:$L$96,"纳入")</x:f>
        <x:v>129.19449600000002</x:v>
      </x:c>
      <x:c r="F9" s="154" t="n">
        <x:f>IF($B$4=0,0,E9/$B$4)</x:f>
        <x:v>0.250453720508167</x:v>
      </x:c>
      <x:c r="G9" s="43" t="str">
        <x:v>约 16 周</x:v>
      </x:c>
      <x:c r="H9" s="43" t="str">
        <x:v>一期验收后启动</x:v>
      </x:c>
      <x:c r="I9" s="143"/>
      <x:c r="J9" s="143" t="str">
        <x:f>A10</x:f>
        <x:v>三期（增强扩展）</x:v>
      </x:c>
      <x:c r="K9" s="143" t="n">
        <x:f>E10</x:f>
        <x:v>0</x:v>
      </x:c>
    </x:row>
    <x:row r="10" ht="54" customHeight="1">
      <x:c r="A10" s="42" t="str">
        <x:v>三期（增强扩展）</x:v>
      </x:c>
      <x:c r="B10" s="42" t="str">
        <x:v>高阶预测模型、期刊样式、双语、院内查重、多机构、PACS/随访适配</x:v>
      </x:c>
      <x:c r="C10" s="42" t="str">
        <x:v>按需选配</x:v>
      </x:c>
      <x:c r="D10" s="42" t="n">
        <x:f>SUMIFS('功能模块选择清单'!$J$6:$J$96,'功能模块选择清单'!$E$6:$E$96,A10,'功能模块选择清单'!$L$6:$L$96,"纳入")</x:f>
        <x:v>0</x:v>
      </x:c>
      <x:c r="E10" s="155" t="n">
        <x:f>SUMIFS('功能模块选择清单'!$K$6:$K$96,'功能模块选择清单'!$E$6:$E$96,A10,'功能模块选择清单'!$L$6:$L$96,"纳入")</x:f>
        <x:v>0</x:v>
      </x:c>
      <x:c r="F10" s="156" t="n">
        <x:f>IF($B$4=0,0,E10/$B$4)</x:f>
        <x:v>0</x:v>
      </x:c>
      <x:c r="G10" s="42" t="str">
        <x:v>按选配范围评估</x:v>
      </x:c>
      <x:c r="H10" s="42" t="str">
        <x:v>真实试点稳定后启动</x:v>
      </x:c>
      <x:c r="I10" s="143"/>
      <x:c r="J10" s="143"/>
      <x:c r="K10" s="143"/>
    </x:row>
    <x:row r="11">
      <x:c r="A11" s="157" t="str">
        <x:v>合计</x:v>
      </x:c>
      <x:c r="B11" s="157" t="str">
        <x:v>合计</x:v>
      </x:c>
      <x:c r="C11" s="157" t="str">
        <x:v>合计</x:v>
      </x:c>
      <x:c r="D11" s="157" t="n">
        <x:f>SUM(D8:D10)</x:f>
        <x:v>1653</x:v>
      </x:c>
      <x:c r="E11" s="158" t="n">
        <x:f>SUM(E8:E10)</x:f>
        <x:v>515.8417919999999</x:v>
      </x:c>
      <x:c r="F11" s="159" t="n">
        <x:f>SUM(F8:F10)</x:f>
        <x:v>0.9999999999999998</x:v>
      </x:c>
      <x:c r="G11" s="157"/>
      <x:c r="H11" s="157"/>
      <x:c r="I11" s="143"/>
      <x:c r="J11" s="143"/>
      <x:c r="K11" s="143"/>
    </x:row>
    <x:row r="12">
      <x:c r="A12" s="143"/>
      <x:c r="B12" s="143"/>
      <x:c r="C12" s="143"/>
      <x:c r="D12" s="143"/>
      <x:c r="E12" s="143"/>
      <x:c r="F12" s="143"/>
      <x:c r="G12" s="143"/>
      <x:c r="H12" s="143"/>
      <x:c r="I12" s="143"/>
      <x:c r="J12" s="143"/>
      <x:c r="K12" s="143"/>
    </x:row>
    <x:row r="13">
      <x:c r="A13" s="143"/>
      <x:c r="B13" s="143"/>
      <x:c r="C13" s="143"/>
      <x:c r="D13" s="143"/>
      <x:c r="E13" s="143"/>
      <x:c r="F13" s="143"/>
      <x:c r="G13" s="143"/>
      <x:c r="H13" s="143"/>
      <x:c r="I13" s="143"/>
      <x:c r="J13" s="143"/>
      <x:c r="K13" s="143"/>
    </x:row>
    <x:row r="14" ht="24" customHeight="1">
      <x:c r="A14" s="99" t="str">
        <x:v>建议付款里程碑（可谈判）</x:v>
      </x:c>
      <x:c r="B14" s="99" t="str">
        <x:v>建议付款里程碑（可谈判）</x:v>
      </x:c>
      <x:c r="C14" s="99" t="str">
        <x:v>建议付款里程碑（可谈判）</x:v>
      </x:c>
      <x:c r="D14" s="99" t="str">
        <x:v>建议付款里程碑（可谈判）</x:v>
      </x:c>
      <x:c r="E14" s="99" t="str">
        <x:v>建议付款里程碑（可谈判）</x:v>
      </x:c>
      <x:c r="F14" s="99" t="str">
        <x:v>建议付款里程碑（可谈判）</x:v>
      </x:c>
      <x:c r="G14" s="99" t="str">
        <x:v>建议付款里程碑（可谈判）</x:v>
      </x:c>
      <x:c r="H14" s="99" t="str">
        <x:v>建议付款里程碑（可谈判）</x:v>
      </x:c>
      <x:c r="I14" s="143"/>
      <x:c r="J14" s="143"/>
      <x:c r="K14" s="143"/>
    </x:row>
    <x:row r="15" ht="30" customHeight="1">
      <x:c r="A15" s="13" t="str">
        <x:v>里程碑</x:v>
      </x:c>
      <x:c r="B15" s="13" t="str">
        <x:v>合同签订</x:v>
      </x:c>
      <x:c r="C15" s="13" t="str">
        <x:v>需求/设计冻结</x:v>
      </x:c>
      <x:c r="D15" s="13" t="str">
        <x:v>核心功能验收</x:v>
      </x:c>
      <x:c r="E15" s="13" t="str">
        <x:v>试点上线</x:v>
      </x:c>
      <x:c r="F15" s="13" t="str">
        <x:v>终验与资料移交</x:v>
      </x:c>
      <x:c r="G15" s="13" t="str">
        <x:v>合计</x:v>
      </x:c>
      <x:c r="H15" s="13" t="str">
        <x:v>说明</x:v>
      </x:c>
      <x:c r="I15" s="143"/>
      <x:c r="J15" s="143"/>
      <x:c r="K15" s="143"/>
    </x:row>
    <x:row r="16">
      <x:c r="A16" s="160" t="str">
        <x:v>付款比例</x:v>
      </x:c>
      <x:c r="B16" s="161" t="n">
        <x:v>0.2</x:v>
      </x:c>
      <x:c r="C16" s="161" t="n">
        <x:v>0.2</x:v>
      </x:c>
      <x:c r="D16" s="161" t="n">
        <x:v>0.25</x:v>
      </x:c>
      <x:c r="E16" s="161" t="n">
        <x:v>0.2</x:v>
      </x:c>
      <x:c r="F16" s="161" t="n">
        <x:v>0.15</x:v>
      </x:c>
      <x:c r="G16" s="161" t="n">
        <x:f>SUM(B16:F16)</x:f>
        <x:v>1</x:v>
      </x:c>
      <x:c r="H16" s="160" t="str">
        <x:v>各阶段均以书面验收和问题闭环为付款条件。</x:v>
      </x:c>
      <x:c r="I16" s="143"/>
      <x:c r="J16" s="143"/>
      <x:c r="K16" s="143"/>
    </x:row>
    <x:row r="17">
      <x:c r="A17" s="143"/>
      <x:c r="B17" s="143"/>
      <x:c r="C17" s="143"/>
      <x:c r="D17" s="143"/>
      <x:c r="E17" s="143"/>
      <x:c r="F17" s="143"/>
      <x:c r="G17" s="143"/>
      <x:c r="H17" s="143"/>
      <x:c r="I17" s="143"/>
      <x:c r="J17" s="143"/>
      <x:c r="K17" s="143"/>
    </x:row>
    <x:row r="18">
      <x:c r="A18" s="143"/>
      <x:c r="B18" s="143"/>
      <x:c r="C18" s="143"/>
      <x:c r="D18" s="143"/>
      <x:c r="E18" s="143"/>
      <x:c r="F18" s="143"/>
      <x:c r="G18" s="143"/>
      <x:c r="H18" s="143"/>
      <x:c r="I18" s="143"/>
      <x:c r="J18" s="143"/>
      <x:c r="K18" s="143"/>
    </x:row>
    <x:row r="19" ht="24" customHeight="1">
      <x:c r="A19" s="99" t="str">
        <x:v>谈判提示</x:v>
      </x:c>
      <x:c r="B19" s="99" t="str">
        <x:v>谈判提示</x:v>
      </x:c>
      <x:c r="C19" s="99" t="str">
        <x:v>谈判提示</x:v>
      </x:c>
      <x:c r="D19" s="99" t="str">
        <x:v>谈判提示</x:v>
      </x:c>
      <x:c r="E19" s="99" t="str">
        <x:v>谈判提示</x:v>
      </x:c>
      <x:c r="F19" s="99" t="str">
        <x:v>谈判提示</x:v>
      </x:c>
      <x:c r="G19" s="99" t="str">
        <x:v>谈判提示</x:v>
      </x:c>
      <x:c r="H19" s="99" t="str">
        <x:v>谈判提示</x:v>
      </x:c>
      <x:c r="I19" s="143"/>
      <x:c r="J19" s="143"/>
      <x:c r="K19" s="143"/>
    </x:row>
    <x:row r="20">
      <x:c r="A20" s="162" t="str">
        <x:v>1</x:v>
      </x:c>
      <x:c r="B20" s="163" t="str">
        <x:v>优先锁定一期完整主链路，避免只采购页面或单个算法而无法形成科研成果闭环。</x:v>
      </x:c>
      <x:c r="C20" s="163"/>
      <x:c r="D20" s="163"/>
      <x:c r="E20" s="163"/>
      <x:c r="F20" s="163"/>
      <x:c r="G20" s="163"/>
      <x:c r="H20" s="164"/>
      <x:c r="I20" s="143"/>
      <x:c r="J20" s="143"/>
      <x:c r="K20" s="143"/>
    </x:row>
    <x:row r="21">
      <x:c r="A21" s="165" t="str">
        <x:v>2</x:v>
      </x:c>
      <x:c r="B21" s="166" t="str">
        <x:v>医院接口按系统数量、数据质量、厂商配合、字段范围和历史数据量现场复核；接口厂商费用不在本测算内。</x:v>
      </x:c>
      <x:c r="C21" s="166"/>
      <x:c r="D21" s="166"/>
      <x:c r="E21" s="166"/>
      <x:c r="F21" s="166"/>
      <x:c r="G21" s="166"/>
      <x:c r="H21" s="167"/>
      <x:c r="I21" s="143"/>
      <x:c r="J21" s="143"/>
      <x:c r="K21" s="143"/>
    </x:row>
    <x:row r="22">
      <x:c r="A22" s="165" t="str">
        <x:v>3</x:v>
      </x:c>
      <x:c r="B22" s="166" t="str">
        <x:v>平台交付的是研究生产与质量控制能力，不承诺论文录用、职称结果或医学结论成立。</x:v>
      </x:c>
      <x:c r="C22" s="166"/>
      <x:c r="D22" s="166"/>
      <x:c r="E22" s="166"/>
      <x:c r="F22" s="166"/>
      <x:c r="G22" s="166"/>
      <x:c r="H22" s="167"/>
      <x:c r="I22" s="143"/>
      <x:c r="J22" s="143"/>
      <x:c r="K22" s="143"/>
    </x:row>
    <x:row r="23">
      <x:c r="A23" s="165" t="str">
        <x:v>4</x:v>
      </x:c>
      <x:c r="B23" s="166" t="str">
        <x:v>真实项目需由医院完成伦理、数据授权、医学与统计审核；供应方可另行提供专项科研服务包。</x:v>
      </x:c>
      <x:c r="C23" s="166"/>
      <x:c r="D23" s="166"/>
      <x:c r="E23" s="166"/>
      <x:c r="F23" s="166"/>
      <x:c r="G23" s="166"/>
      <x:c r="H23" s="167"/>
      <x:c r="I23" s="143"/>
      <x:c r="J23" s="143"/>
      <x:c r="K23" s="143"/>
    </x:row>
    <x:row r="24">
      <x:c r="A24" s="168" t="str">
        <x:v>5</x:v>
      </x:c>
      <x:c r="B24" s="169" t="str">
        <x:v>服务器、GPU、操作系统/数据库商业许可、本地模型及第三方文献数据库费用由双方另行确认。</x:v>
      </x:c>
      <x:c r="C24" s="169"/>
      <x:c r="D24" s="169"/>
      <x:c r="E24" s="169"/>
      <x:c r="F24" s="169"/>
      <x:c r="G24" s="169"/>
      <x:c r="H24" s="170"/>
      <x:c r="I24" s="143"/>
      <x:c r="J24" s="143"/>
      <x:c r="K24" s="143"/>
    </x:row>
  </x:sheetData>
  <x:mergeCells>
    <x:mergeCell ref="A1:H1"/>
    <x:mergeCell ref="A2:H2"/>
    <x:mergeCell ref="A11:C11"/>
    <x:mergeCell ref="A14:H14"/>
    <x:mergeCell ref="A19:H19"/>
    <x:mergeCell ref="B20:H20"/>
    <x:mergeCell ref="B21:H21"/>
    <x:mergeCell ref="B22:H22"/>
    <x:mergeCell ref="B23:H23"/>
    <x:mergeCell ref="B24:H24"/>
  </x:mergeCells>
  <x:pageMargins left="0.7" right="0.7" top="0.75" bottom="0.75" header="0.3" footer="0.3"/>
  <x:drawing xmlns:r="http://schemas.openxmlformats.org/officeDocument/2006/relationships" r:id="Rf2fd5a8028ec440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56" hidden="0" customWidth="1"/>
    <x:col min="5" max="5" width="20" hidden="0" customWidth="1"/>
    <x:col min="6" max="6" width="10" hidden="0" customWidth="1"/>
    <x:col min="7" max="7" width="12" hidden="0" customWidth="1"/>
    <x:col min="8" max="8" width="18" hidden="0" customWidth="1"/>
    <x:col min="9" max="9" width="55" hidden="0" customWidth="1"/>
    <x:col min="10" max="10" width="12" hidden="0" customWidth="1"/>
    <x:col min="11" max="11" width="18" hidden="0" customWidth="1"/>
    <x:col min="12" max="12" width="12" hidden="0" customWidth="1"/>
    <x:col min="13" max="13" width="28" hidden="0" customWidth="1"/>
  </x:cols>
  <x:sheetData>
    <x:row r="1" ht="34" customHeight="1">
      <x:c r="A1" s="4" t="str">
        <x:v>HospitalAI 医学科研智能平台功能选择清单</x:v>
      </x:c>
      <x:c r="B1" s="4" t="str">
        <x:v>HospitalAI 医学科研智能平台功能选择清单</x:v>
      </x:c>
      <x:c r="C1" s="4" t="str">
        <x:v>HospitalAI 医学科研智能平台功能选择清单</x:v>
      </x:c>
      <x:c r="D1" s="4" t="str">
        <x:v>HospitalAI 医学科研智能平台功能选择清单</x:v>
      </x:c>
      <x:c r="E1" s="4" t="str">
        <x:v>HospitalAI 医学科研智能平台功能选择清单</x:v>
      </x:c>
      <x:c r="F1" s="4" t="str">
        <x:v>HospitalAI 医学科研智能平台功能选择清单</x:v>
      </x:c>
      <x:c r="G1" s="4" t="str">
        <x:v>HospitalAI 医学科研智能平台功能选择清单</x:v>
      </x:c>
      <x:c r="H1" s="4" t="str">
        <x:v>HospitalAI 医学科研智能平台功能选择清单</x:v>
      </x:c>
      <x:c r="I1" s="4" t="str">
        <x:v>HospitalAI 医学科研智能平台功能选择清单</x:v>
      </x:c>
      <x:c r="J1" s="4" t="str">
        <x:v>HospitalAI 医学科研智能平台功能选择清单</x:v>
      </x:c>
      <x:c r="K1" s="4" t="str">
        <x:v>HospitalAI 医学科研智能平台功能选择清单</x:v>
      </x:c>
      <x:c r="L1" s="4" t="str">
        <x:v>HospitalAI 医学科研智能平台功能选择清单</x:v>
      </x:c>
      <x:c r="M1" s="4" t="str">
        <x:v>HospitalAI 医学科研智能平台功能选择清单</x:v>
      </x:c>
    </x:row>
    <x:row r="2">
      <x:c r="A2" s="7" t="str">
        <x:v>分期原则：一期完成文件数据到科研成果包的可运行闭环；二期完成医院数据接入和真实项目试点；三期扩展高阶算法、期刊样式和规模化运营。</x:v>
      </x:c>
      <x:c r="B2" s="7" t="str">
        <x:v>分期原则：一期完成文件数据到科研成果包的可运行闭环；二期完成医院数据接入和真实项目试点；三期扩展高阶算法、期刊样式和规模化运营。</x:v>
      </x:c>
      <x:c r="C2" s="7" t="str">
        <x:v>分期原则：一期完成文件数据到科研成果包的可运行闭环；二期完成医院数据接入和真实项目试点；三期扩展高阶算法、期刊样式和规模化运营。</x:v>
      </x:c>
      <x:c r="D2" s="7" t="str">
        <x:v>分期原则：一期完成文件数据到科研成果包的可运行闭环；二期完成医院数据接入和真实项目试点；三期扩展高阶算法、期刊样式和规模化运营。</x:v>
      </x:c>
      <x:c r="E2" s="7" t="str">
        <x:v>分期原则：一期完成文件数据到科研成果包的可运行闭环；二期完成医院数据接入和真实项目试点；三期扩展高阶算法、期刊样式和规模化运营。</x:v>
      </x:c>
      <x:c r="F2" s="7" t="str">
        <x:v>分期原则：一期完成文件数据到科研成果包的可运行闭环；二期完成医院数据接入和真实项目试点；三期扩展高阶算法、期刊样式和规模化运营。</x:v>
      </x:c>
      <x:c r="G2" s="7" t="str">
        <x:v>分期原则：一期完成文件数据到科研成果包的可运行闭环；二期完成医院数据接入和真实项目试点；三期扩展高阶算法、期刊样式和规模化运营。</x:v>
      </x:c>
      <x:c r="H2" s="7" t="str">
        <x:v>分期原则：一期完成文件数据到科研成果包的可运行闭环；二期完成医院数据接入和真实项目试点；三期扩展高阶算法、期刊样式和规模化运营。</x:v>
      </x:c>
      <x:c r="I2" s="7" t="str">
        <x:v>分期原则：一期完成文件数据到科研成果包的可运行闭环；二期完成医院数据接入和真实项目试点；三期扩展高阶算法、期刊样式和规模化运营。</x:v>
      </x:c>
      <x:c r="J2" s="7" t="str">
        <x:v>分期原则：一期完成文件数据到科研成果包的可运行闭环；二期完成医院数据接入和真实项目试点；三期扩展高阶算法、期刊样式和规模化运营。</x:v>
      </x:c>
      <x:c r="K2" s="7" t="str">
        <x:v>分期原则：一期完成文件数据到科研成果包的可运行闭环；二期完成医院数据接入和真实项目试点；三期扩展高阶算法、期刊样式和规模化运营。</x:v>
      </x:c>
      <x:c r="L2" s="7" t="str">
        <x:v>分期原则：一期完成文件数据到科研成果包的可运行闭环；二期完成医院数据接入和真实项目试点；三期扩展高阶算法、期刊样式和规模化运营。</x:v>
      </x:c>
      <x:c r="M2" s="7" t="str">
        <x:v>分期原则：一期完成文件数据到科研成果包的可运行闭环；二期完成医院数据接入和真实项目试点；三期扩展高阶算法、期刊样式和规模化运营。</x:v>
      </x:c>
    </x:row>
    <x:row r="3">
      <x:c r="A3" s="28" t="str">
        <x:v>一期：核心平台与文件科研闭环</x:v>
      </x:c>
      <x:c r="B3" s="28" t="str">
        <x:v>一期：核心平台与文件科研闭环</x:v>
      </x:c>
      <x:c r="C3" s="28" t="str">
        <x:v>一期：核心平台与文件科研闭环</x:v>
      </x:c>
      <x:c r="D3" s="28" t="str">
        <x:v>一期：核心平台与文件科研闭环</x:v>
      </x:c>
      <x:c r="E3" s="31" t="str">
        <x:v>二期：医院数据接入与真实项目试点</x:v>
      </x:c>
      <x:c r="F3" s="31" t="str">
        <x:v>二期：医院数据接入与真实项目试点</x:v>
      </x:c>
      <x:c r="G3" s="31" t="str">
        <x:v>二期：医院数据接入与真实项目试点</x:v>
      </x:c>
      <x:c r="H3" s="31" t="str">
        <x:v>二期：医院数据接入与真实项目试点</x:v>
      </x:c>
      <x:c r="I3" s="34" t="str">
        <x:v>三期：智能增强与规模化</x:v>
      </x:c>
      <x:c r="J3" s="34" t="str">
        <x:v>三期：智能增强与规模化</x:v>
      </x:c>
      <x:c r="K3" s="34" t="str">
        <x:v>三期：智能增强与规模化</x:v>
      </x:c>
      <x:c r="L3" s="34" t="str">
        <x:v>三期：智能增强与规模化</x:v>
      </x:c>
      <x:c r="M3" s="34" t="str">
        <x:v>三期：智能增强与规模化</x:v>
      </x:c>
    </x:row>
    <x:row r="5" ht="30" customHeight="1">
      <x:c r="A5" s="13" t="str">
        <x:v>需求编号</x:v>
      </x:c>
      <x:c r="B5" s="13" t="str">
        <x:v>一级模块</x:v>
      </x:c>
      <x:c r="C5" s="13" t="str">
        <x:v>二级功能</x:v>
      </x:c>
      <x:c r="D5" s="13" t="str">
        <x:v>功能与交付说明</x:v>
      </x:c>
      <x:c r="E5" s="13" t="str">
        <x:v>实施阶段</x:v>
      </x:c>
      <x:c r="F5" s="13" t="str">
        <x:v>优先级</x:v>
      </x:c>
      <x:c r="G5" s="13" t="str">
        <x:v>采购建议</x:v>
      </x:c>
      <x:c r="H5" s="13" t="str">
        <x:v>交付形态</x:v>
      </x:c>
      <x:c r="I5" s="13" t="str">
        <x:v>验收要点</x:v>
      </x:c>
      <x:c r="J5" s="13" t="str">
        <x:v>估算人日</x:v>
      </x:c>
      <x:c r="K5" s="13" t="str">
        <x:v>单项含税建议金额（万元）</x:v>
      </x:c>
      <x:c r="L5" s="13" t="str">
        <x:v>甲方选择</x:v>
      </x:c>
      <x:c r="M5" s="13" t="str">
        <x:v>甲方备注</x:v>
      </x:c>
    </x:row>
    <x:row r="6" ht="44" customHeight="1">
      <x:c r="A6" s="38" t="str">
        <x:v>MRP-PROJ-01</x:v>
      </x:c>
      <x:c r="B6" s="38" t="str">
        <x:v>项目与课题管理</x:v>
      </x:c>
      <x:c r="C6" s="41" t="str">
        <x:v>科研项目中心</x:v>
      </x:c>
      <x:c r="D6" s="41" t="str">
        <x:v>创建、复制、归档科研项目，展示负责人、科室、状态、风险、待办与里程碑。</x:v>
      </x:c>
      <x:c r="E6" s="41" t="str">
        <x:v>一期（核心平台）</x:v>
      </x:c>
      <x:c r="F6" s="41" t="str">
        <x:v>P0</x:v>
      </x:c>
      <x:c r="G6" s="41" t="str">
        <x:v>必选</x:v>
      </x:c>
      <x:c r="H6" s="41" t="str">
        <x:v>标准产品</x:v>
      </x:c>
      <x:c r="I6" s="41" t="str">
        <x:v>项目可创建并持久化；授权用户可检索；归档不删除历史版本。</x:v>
      </x:c>
      <x:c r="J6" s="47" t="n">
        <x:v>14</x:v>
      </x:c>
      <x:c r="K6" s="48" t="n">
        <x:f>J6*'报价参数'!$B$5*'报价参数'!$B$6*(1+'报价参数'!$B$7)/10000</x:f>
        <x:v>4.368896</x:v>
      </x:c>
      <x:c r="L6" s="53" t="str">
        <x:v>纳入</x:v>
      </x:c>
      <x:c r="M6" s="53"/>
    </x:row>
    <x:row r="7" ht="44" customHeight="1">
      <x:c r="A7" s="38" t="str">
        <x:v>MRP-PROJ-02</x:v>
      </x:c>
      <x:c r="B7" s="38" t="str">
        <x:v>项目与课题管理</x:v>
      </x:c>
      <x:c r="C7" s="41" t="str">
        <x:v>项目成员与协作范围</x:v>
      </x:c>
      <x:c r="D7" s="41" t="str">
        <x:v>配置 PI、研究助理、统计师、医学负责人、科研管理等项目角色。</x:v>
      </x:c>
      <x:c r="E7" s="41" t="str">
        <x:v>一期（核心平台）</x:v>
      </x:c>
      <x:c r="F7" s="41" t="str">
        <x:v>P0</x:v>
      </x:c>
      <x:c r="G7" s="41" t="str">
        <x:v>必选</x:v>
      </x:c>
      <x:c r="H7" s="41" t="str">
        <x:v>标准产品</x:v>
      </x:c>
      <x:c r="I7" s="41" t="str">
        <x:v>项目成员权限由服务端生效，未授权用户不可查看项目或数据。</x:v>
      </x:c>
      <x:c r="J7" s="47" t="n">
        <x:v>10</x:v>
      </x:c>
      <x:c r="K7" s="48" t="n">
        <x:f>J7*'报价参数'!$B$5*'报价参数'!$B$6*(1+'报价参数'!$B$7)/10000</x:f>
        <x:v>3.1206400000000003</x:v>
      </x:c>
      <x:c r="L7" s="53" t="str">
        <x:v>纳入</x:v>
      </x:c>
      <x:c r="M7" s="53"/>
    </x:row>
    <x:row r="8" ht="44" customHeight="1">
      <x:c r="A8" s="38" t="str">
        <x:v>MRP-TOPIC-01</x:v>
      </x:c>
      <x:c r="B8" s="38" t="str">
        <x:v>项目与课题管理</x:v>
      </x:c>
      <x:c r="C8" s="41" t="str">
        <x:v>选题结构化向导</x:v>
      </x:c>
      <x:c r="D8" s="41" t="str">
        <x:v>通过 PICO/PECO 引导形成研究人群、暴露/干预、对照、结局和时间窗。</x:v>
      </x:c>
      <x:c r="E8" s="41" t="str">
        <x:v>一期（核心平台）</x:v>
      </x:c>
      <x:c r="F8" s="41" t="str">
        <x:v>P0</x:v>
      </x:c>
      <x:c r="G8" s="41" t="str">
        <x:v>必选</x:v>
      </x:c>
      <x:c r="H8" s="41" t="str">
        <x:v>标准产品</x:v>
      </x:c>
      <x:c r="I8" s="41" t="str">
        <x:v>研究意向可保存为版本化结构；必填项缺失时阻断提交。</x:v>
      </x:c>
      <x:c r="J8" s="47" t="n">
        <x:v>18</x:v>
      </x:c>
      <x:c r="K8" s="48" t="n">
        <x:f>J8*'报价参数'!$B$5*'报价参数'!$B$6*(1+'报价参数'!$B$7)/10000</x:f>
        <x:v>5.617152000000001</x:v>
      </x:c>
      <x:c r="L8" s="53" t="str">
        <x:v>纳入</x:v>
      </x:c>
      <x:c r="M8" s="53"/>
    </x:row>
    <x:row r="9" ht="44" customHeight="1">
      <x:c r="A9" s="38" t="str">
        <x:v>MRP-TOPIC-02</x:v>
      </x:c>
      <x:c r="B9" s="38" t="str">
        <x:v>项目与课题管理</x:v>
      </x:c>
      <x:c r="C9" s="41" t="str">
        <x:v>选题可行性评估</x:v>
      </x:c>
      <x:c r="D9" s="41" t="str">
        <x:v>从创新性、临床价值、数据可得性、样本量、伦理风险和周期形成评估。</x:v>
      </x:c>
      <x:c r="E9" s="41" t="str">
        <x:v>一期（核心平台）</x:v>
      </x:c>
      <x:c r="F9" s="41" t="str">
        <x:v>P0</x:v>
      </x:c>
      <x:c r="G9" s="41" t="str">
        <x:v>必选</x:v>
      </x:c>
      <x:c r="H9" s="41" t="str">
        <x:v>标准产品+配置</x:v>
      </x:c>
      <x:c r="I9" s="41" t="str">
        <x:v>形成评分、风险清单、数据需求和继续/调整/停止结论。</x:v>
      </x:c>
      <x:c r="J9" s="47" t="n">
        <x:v>16</x:v>
      </x:c>
      <x:c r="K9" s="48" t="n">
        <x:f>J9*'报价参数'!$B$5*'报价参数'!$B$6*(1+'报价参数'!$B$7)/10000</x:f>
        <x:v>4.993024</x:v>
      </x:c>
      <x:c r="L9" s="53" t="str">
        <x:v>纳入</x:v>
      </x:c>
      <x:c r="M9" s="53"/>
    </x:row>
    <x:row r="10" ht="44" customHeight="1">
      <x:c r="A10" s="39" t="str">
        <x:v>MRP-TOPIC-03</x:v>
      </x:c>
      <x:c r="B10" s="39" t="str">
        <x:v>项目与课题管理</x:v>
      </x:c>
      <x:c r="C10" s="42" t="str">
        <x:v>院内课题查重与复用</x:v>
      </x:c>
      <x:c r="D10" s="42" t="str">
        <x:v>按题目、疾病、药物、终点和变量检索院内历史项目，减少重复立项。</x:v>
      </x:c>
      <x:c r="E10" s="42" t="str">
        <x:v>三期（增强扩展）</x:v>
      </x:c>
      <x:c r="F10" s="42" t="str">
        <x:v>P2</x:v>
      </x:c>
      <x:c r="G10" s="42" t="str">
        <x:v>选配</x:v>
      </x:c>
      <x:c r="H10" s="42" t="str">
        <x:v>标准产品</x:v>
      </x:c>
      <x:c r="I10" s="42" t="str">
        <x:v>授权范围内返回相似项目及可复用模板，不泄露未授权数据。</x:v>
      </x:c>
      <x:c r="J10" s="49" t="n">
        <x:v>12</x:v>
      </x:c>
      <x:c r="K10" s="50" t="n">
        <x:f>J10*'报价参数'!$B$5*'报价参数'!$B$6*(1+'报价参数'!$B$7)/10000</x:f>
        <x:v>3.744768</x:v>
      </x:c>
      <x:c r="L10" s="53" t="str">
        <x:v>待议</x:v>
      </x:c>
      <x:c r="M10" s="53"/>
    </x:row>
    <x:row r="11" ht="44" customHeight="1">
      <x:c r="A11" s="38" t="str">
        <x:v>MRP-PROTOCOL-01</x:v>
      </x:c>
      <x:c r="B11" s="38" t="str">
        <x:v>研究方案设计</x:v>
      </x:c>
      <x:c r="C11" s="41" t="str">
        <x:v>研究协议模板</x:v>
      </x:c>
      <x:c r="D11" s="41" t="str">
        <x:v>支持诊断效能、药物比较、实验室质量三类首发研究协议模板。</x:v>
      </x:c>
      <x:c r="E11" s="41" t="str">
        <x:v>一期（核心平台）</x:v>
      </x:c>
      <x:c r="F11" s="41" t="str">
        <x:v>P0</x:v>
      </x:c>
      <x:c r="G11" s="41" t="str">
        <x:v>必选</x:v>
      </x:c>
      <x:c r="H11" s="41" t="str">
        <x:v>标准产品</x:v>
      </x:c>
      <x:c r="I11" s="41" t="str">
        <x:v>三类模板均可生成、版本比较、审核和冻结。</x:v>
      </x:c>
      <x:c r="J11" s="47" t="n">
        <x:v>24</x:v>
      </x:c>
      <x:c r="K11" s="48" t="n">
        <x:f>J11*'报价参数'!$B$5*'报价参数'!$B$6*(1+'报价参数'!$B$7)/10000</x:f>
        <x:v>7.489536</x:v>
      </x:c>
      <x:c r="L11" s="53" t="str">
        <x:v>纳入</x:v>
      </x:c>
      <x:c r="M11" s="53"/>
    </x:row>
    <x:row r="12" ht="44" customHeight="1">
      <x:c r="A12" s="38" t="str">
        <x:v>MRP-PROTOCOL-02</x:v>
      </x:c>
      <x:c r="B12" s="38" t="str">
        <x:v>研究方案设计</x:v>
      </x:c>
      <x:c r="C12" s="41" t="str">
        <x:v>人群与时间零点定义</x:v>
      </x:c>
      <x:c r="D12" s="41" t="str">
        <x:v>定义索引日期、洗脱期、基线期、观察期、随访期及删失规则。</x:v>
      </x:c>
      <x:c r="E12" s="41" t="str">
        <x:v>一期（核心平台）</x:v>
      </x:c>
      <x:c r="F12" s="41" t="str">
        <x:v>P0</x:v>
      </x:c>
      <x:c r="G12" s="41" t="str">
        <x:v>必选</x:v>
      </x:c>
      <x:c r="H12" s="41" t="str">
        <x:v>标准产品</x:v>
      </x:c>
      <x:c r="I12" s="41" t="str">
        <x:v>时间零点和观察窗口未定义时不可进入数据提取。</x:v>
      </x:c>
      <x:c r="J12" s="47" t="n">
        <x:v>14</x:v>
      </x:c>
      <x:c r="K12" s="48" t="n">
        <x:f>J12*'报价参数'!$B$5*'报价参数'!$B$6*(1+'报价参数'!$B$7)/10000</x:f>
        <x:v>4.368896</x:v>
      </x:c>
      <x:c r="L12" s="53" t="str">
        <x:v>纳入</x:v>
      </x:c>
      <x:c r="M12" s="53"/>
    </x:row>
    <x:row r="13" ht="44" customHeight="1">
      <x:c r="A13" s="38" t="str">
        <x:v>MRP-PROTOCOL-03</x:v>
      </x:c>
      <x:c r="B13" s="38" t="str">
        <x:v>研究方案设计</x:v>
      </x:c>
      <x:c r="C13" s="41" t="str">
        <x:v>终点与协变量规划</x:v>
      </x:c>
      <x:c r="D13" s="41" t="str">
        <x:v>维护主要/次要终点、候选协变量、偏倚来源及结局判定方式。</x:v>
      </x:c>
      <x:c r="E13" s="41" t="str">
        <x:v>一期（核心平台）</x:v>
      </x:c>
      <x:c r="F13" s="41" t="str">
        <x:v>P0</x:v>
      </x:c>
      <x:c r="G13" s="41" t="str">
        <x:v>必选</x:v>
      </x:c>
      <x:c r="H13" s="41" t="str">
        <x:v>标准产品</x:v>
      </x:c>
      <x:c r="I13" s="41" t="str">
        <x:v>终点和协变量均关联来源、定义、时间窗及版本。</x:v>
      </x:c>
      <x:c r="J13" s="47" t="n">
        <x:v>15</x:v>
      </x:c>
      <x:c r="K13" s="48" t="n">
        <x:f>J13*'报价参数'!$B$5*'报价参数'!$B$6*(1+'报价参数'!$B$7)/10000</x:f>
        <x:v>4.680960000000001</x:v>
      </x:c>
      <x:c r="L13" s="53" t="str">
        <x:v>纳入</x:v>
      </x:c>
      <x:c r="M13" s="53"/>
    </x:row>
    <x:row r="14" ht="44" customHeight="1">
      <x:c r="A14" s="38" t="str">
        <x:v>MRP-PROTOCOL-04</x:v>
      </x:c>
      <x:c r="B14" s="38" t="str">
        <x:v>研究方案设计</x:v>
      </x:c>
      <x:c r="C14" s="41" t="str">
        <x:v>样本量参数与可行性提示</x:v>
      </x:c>
      <x:c r="D14" s="41" t="str">
        <x:v>录入效应量、显著性水平、检验效能等参数，生成方法学提示。</x:v>
      </x:c>
      <x:c r="E14" s="41" t="str">
        <x:v>一期（核心平台）</x:v>
      </x:c>
      <x:c r="F14" s="41" t="str">
        <x:v>P0</x:v>
      </x:c>
      <x:c r="G14" s="41" t="str">
        <x:v>建议</x:v>
      </x:c>
      <x:c r="H14" s="41" t="str">
        <x:v>统计专项</x:v>
      </x:c>
      <x:c r="I14" s="41" t="str">
        <x:v>参数与假设可追溯；结果标注为估算并需统计师确认。</x:v>
      </x:c>
      <x:c r="J14" s="47" t="n">
        <x:v>14</x:v>
      </x:c>
      <x:c r="K14" s="48" t="n">
        <x:f>J14*'报价参数'!$B$5*'报价参数'!$B$6*(1+'报价参数'!$B$7)/10000</x:f>
        <x:v>4.368896</x:v>
      </x:c>
      <x:c r="L14" s="53" t="str">
        <x:v>纳入</x:v>
      </x:c>
      <x:c r="M14" s="53"/>
    </x:row>
    <x:row r="15" ht="44" customHeight="1">
      <x:c r="A15" s="38" t="str">
        <x:v>MRP-PROTOCOL-05</x:v>
      </x:c>
      <x:c r="B15" s="38" t="str">
        <x:v>研究方案设计</x:v>
      </x:c>
      <x:c r="C15" s="41" t="str">
        <x:v>伦理与研究注册管理</x:v>
      </x:c>
      <x:c r="D15" s="41" t="str">
        <x:v>绑定伦理审批/豁免、立项、注册、有效期和附件。</x:v>
      </x:c>
      <x:c r="E15" s="41" t="str">
        <x:v>一期（核心平台）</x:v>
      </x:c>
      <x:c r="F15" s="41" t="str">
        <x:v>P0</x:v>
      </x:c>
      <x:c r="G15" s="41" t="str">
        <x:v>必选</x:v>
      </x:c>
      <x:c r="H15" s="41" t="str">
        <x:v>标准产品</x:v>
      </x:c>
      <x:c r="I15" s="41" t="str">
        <x:v>伦理状态成为数据授权和成果发布的强制门禁。</x:v>
      </x:c>
      <x:c r="J15" s="47" t="n">
        <x:v>12</x:v>
      </x:c>
      <x:c r="K15" s="48" t="n">
        <x:f>J15*'报价参数'!$B$5*'报价参数'!$B$6*(1+'报价参数'!$B$7)/10000</x:f>
        <x:v>3.744768</x:v>
      </x:c>
      <x:c r="L15" s="53" t="str">
        <x:v>纳入</x:v>
      </x:c>
      <x:c r="M15" s="53"/>
    </x:row>
    <x:row r="16" ht="44" customHeight="1">
      <x:c r="A16" s="40" t="str">
        <x:v>MRP-AUTH-01</x:v>
      </x:c>
      <x:c r="B16" s="40" t="str">
        <x:v>数据目录与授权</x:v>
      </x:c>
      <x:c r="C16" s="43" t="str">
        <x:v>医院科研数据目录</x:v>
      </x:c>
      <x:c r="D16" s="43" t="str">
        <x:v>展示 HIS、EMR、LIS、PACS、药学等可申请数据域和字段说明。</x:v>
      </x:c>
      <x:c r="E16" s="43" t="str">
        <x:v>二期（医院试点）</x:v>
      </x:c>
      <x:c r="F16" s="43" t="str">
        <x:v>P0</x:v>
      </x:c>
      <x:c r="G16" s="43" t="str">
        <x:v>建议</x:v>
      </x:c>
      <x:c r="H16" s="43" t="str">
        <x:v>医院配置</x:v>
      </x:c>
      <x:c r="I16" s="43" t="str">
        <x:v>数据域、负责人、敏感等级、更新频率及申请条件可查询。</x:v>
      </x:c>
      <x:c r="J16" s="51" t="n">
        <x:v>18</x:v>
      </x:c>
      <x:c r="K16" s="52" t="n">
        <x:f>J16*'报价参数'!$B$5*'报价参数'!$B$6*(1+'报价参数'!$B$7)/10000</x:f>
        <x:v>5.617152000000001</x:v>
      </x:c>
      <x:c r="L16" s="53" t="str">
        <x:v>纳入</x:v>
      </x:c>
      <x:c r="M16" s="53"/>
    </x:row>
    <x:row r="17" ht="44" customHeight="1">
      <x:c r="A17" s="40" t="str">
        <x:v>MRP-AUTH-02</x:v>
      </x:c>
      <x:c r="B17" s="40" t="str">
        <x:v>数据目录与授权</x:v>
      </x:c>
      <x:c r="C17" s="43" t="str">
        <x:v>项目数据授权申请</x:v>
      </x:c>
      <x:c r="D17" s="43" t="str">
        <x:v>按项目目的、字段最小化、伦理状态和使用期限提交数据申请。</x:v>
      </x:c>
      <x:c r="E17" s="43" t="str">
        <x:v>二期（医院试点）</x:v>
      </x:c>
      <x:c r="F17" s="43" t="str">
        <x:v>P0</x:v>
      </x:c>
      <x:c r="G17" s="43" t="str">
        <x:v>建议</x:v>
      </x:c>
      <x:c r="H17" s="43" t="str">
        <x:v>标准产品+配置</x:v>
      </x:c>
      <x:c r="I17" s="43" t="str">
        <x:v>审批范围、期限和审批人可回读；到期后停止新任务。</x:v>
      </x:c>
      <x:c r="J17" s="51" t="n">
        <x:v>18</x:v>
      </x:c>
      <x:c r="K17" s="52" t="n">
        <x:f>J17*'报价参数'!$B$5*'报价参数'!$B$6*(1+'报价参数'!$B$7)/10000</x:f>
        <x:v>5.617152000000001</x:v>
      </x:c>
      <x:c r="L17" s="53" t="str">
        <x:v>纳入</x:v>
      </x:c>
      <x:c r="M17" s="53"/>
    </x:row>
    <x:row r="18" ht="44" customHeight="1">
      <x:c r="A18" s="40" t="str">
        <x:v>MRP-AUTH-03</x:v>
      </x:c>
      <x:c r="B18" s="40" t="str">
        <x:v>数据目录与授权</x:v>
      </x:c>
      <x:c r="C18" s="43" t="str">
        <x:v>去标识与字段最小化策略</x:v>
      </x:c>
      <x:c r="D18" s="43" t="str">
        <x:v>配置直接标识隔离、研究编号、日期偏移、敏感字段屏蔽等策略。</x:v>
      </x:c>
      <x:c r="E18" s="43" t="str">
        <x:v>二期（医院试点）</x:v>
      </x:c>
      <x:c r="F18" s="43" t="str">
        <x:v>P0</x:v>
      </x:c>
      <x:c r="G18" s="43" t="str">
        <x:v>必选</x:v>
      </x:c>
      <x:c r="H18" s="43" t="str">
        <x:v>安全专项</x:v>
      </x:c>
      <x:c r="I18" s="43" t="str">
        <x:v>分析区无未经批准的直接身份字段，导出前再次扫描。</x:v>
      </x:c>
      <x:c r="J18" s="51" t="n">
        <x:v>20</x:v>
      </x:c>
      <x:c r="K18" s="52" t="n">
        <x:f>J18*'报价参数'!$B$5*'报价参数'!$B$6*(1+'报价参数'!$B$7)/10000</x:f>
        <x:v>6.241280000000001</x:v>
      </x:c>
      <x:c r="L18" s="53" t="str">
        <x:v>纳入</x:v>
      </x:c>
      <x:c r="M18" s="53"/>
    </x:row>
    <x:row r="19" ht="44" customHeight="1">
      <x:c r="A19" s="40" t="str">
        <x:v>MRP-AUTH-04</x:v>
      </x:c>
      <x:c r="B19" s="40" t="str">
        <x:v>数据目录与授权</x:v>
      </x:c>
      <x:c r="C19" s="43" t="str">
        <x:v>授权到期与用途控制</x:v>
      </x:c>
      <x:c r="D19" s="43" t="str">
        <x:v>按研究目的、项目、人员、数据域和有效期执行 ABAC。</x:v>
      </x:c>
      <x:c r="E19" s="43" t="str">
        <x:v>二期（医院试点）</x:v>
      </x:c>
      <x:c r="F19" s="43" t="str">
        <x:v>P0</x:v>
      </x:c>
      <x:c r="G19" s="43" t="str">
        <x:v>必选</x:v>
      </x:c>
      <x:c r="H19" s="43" t="str">
        <x:v>安全专项</x:v>
      </x:c>
      <x:c r="I19" s="43" t="str">
        <x:v>越权和过期访问被拒绝并形成审计事件。</x:v>
      </x:c>
      <x:c r="J19" s="51" t="n">
        <x:v>16</x:v>
      </x:c>
      <x:c r="K19" s="52" t="n">
        <x:f>J19*'报价参数'!$B$5*'报价参数'!$B$6*(1+'报价参数'!$B$7)/10000</x:f>
        <x:v>4.993024</x:v>
      </x:c>
      <x:c r="L19" s="53" t="str">
        <x:v>纳入</x:v>
      </x:c>
      <x:c r="M19" s="53"/>
    </x:row>
    <x:row r="20" ht="44" customHeight="1">
      <x:c r="A20" s="38" t="str">
        <x:v>MRP-INGEST-01</x:v>
      </x:c>
      <x:c r="B20" s="38" t="str">
        <x:v>数据导入与提取</x:v>
      </x:c>
      <x:c r="C20" s="41" t="str">
        <x:v>Excel/CSV/JSON 正式导入</x:v>
      </x:c>
      <x:c r="D20" s="41" t="str">
        <x:v>通过统一导入器接收结构化文件，合成数据与真实数据使用同一校验链路。</x:v>
      </x:c>
      <x:c r="E20" s="41" t="str">
        <x:v>一期（核心平台）</x:v>
      </x:c>
      <x:c r="F20" s="41" t="str">
        <x:v>P0</x:v>
      </x:c>
      <x:c r="G20" s="41" t="str">
        <x:v>必选</x:v>
      </x:c>
      <x:c r="H20" s="41" t="str">
        <x:v>标准产品</x:v>
      </x:c>
      <x:c r="I20" s="41" t="str">
        <x:v>文件批次、哈希、来源、行数、状态和错误均可回读。</x:v>
      </x:c>
      <x:c r="J20" s="47" t="n">
        <x:v>24</x:v>
      </x:c>
      <x:c r="K20" s="48" t="n">
        <x:f>J20*'报价参数'!$B$5*'报价参数'!$B$6*(1+'报价参数'!$B$7)/10000</x:f>
        <x:v>7.489536</x:v>
      </x:c>
      <x:c r="L20" s="53" t="str">
        <x:v>纳入</x:v>
      </x:c>
      <x:c r="M20" s="53"/>
    </x:row>
    <x:row r="21" ht="44" customHeight="1">
      <x:c r="A21" s="38" t="str">
        <x:v>MRP-INGEST-02</x:v>
      </x:c>
      <x:c r="B21" s="38" t="str">
        <x:v>数据导入与提取</x:v>
      </x:c>
      <x:c r="C21" s="41" t="str">
        <x:v>导入模板与字段映射</x:v>
      </x:c>
      <x:c r="D21" s="41" t="str">
        <x:v>维护字段名称、类型、代码、单位、时间和目标统一模型映射。</x:v>
      </x:c>
      <x:c r="E21" s="41" t="str">
        <x:v>一期（核心平台）</x:v>
      </x:c>
      <x:c r="F21" s="41" t="str">
        <x:v>P0</x:v>
      </x:c>
      <x:c r="G21" s="41" t="str">
        <x:v>必选</x:v>
      </x:c>
      <x:c r="H21" s="41" t="str">
        <x:v>标准产品</x:v>
      </x:c>
      <x:c r="I21" s="41" t="str">
        <x:v>映射版本化；映射变化使下游数据集失效。</x:v>
      </x:c>
      <x:c r="J21" s="47" t="n">
        <x:v>18</x:v>
      </x:c>
      <x:c r="K21" s="48" t="n">
        <x:f>J21*'报价参数'!$B$5*'报价参数'!$B$6*(1+'报价参数'!$B$7)/10000</x:f>
        <x:v>5.617152000000001</x:v>
      </x:c>
      <x:c r="L21" s="53" t="str">
        <x:v>纳入</x:v>
      </x:c>
      <x:c r="M21" s="53"/>
    </x:row>
    <x:row r="22" ht="44" customHeight="1">
      <x:c r="A22" s="38" t="str">
        <x:v>MRP-INGEST-03</x:v>
      </x:c>
      <x:c r="B22" s="38" t="str">
        <x:v>数据导入与提取</x:v>
      </x:c>
      <x:c r="C22" s="41" t="str">
        <x:v>文件安全与数据校验</x:v>
      </x:c>
      <x:c r="D22" s="41" t="str">
        <x:v>执行白名单、限额、恶意内容、公式注入、编码、日期、单位和代码校验。</x:v>
      </x:c>
      <x:c r="E22" s="41" t="str">
        <x:v>一期（核心平台）</x:v>
      </x:c>
      <x:c r="F22" s="41" t="str">
        <x:v>P0</x:v>
      </x:c>
      <x:c r="G22" s="41" t="str">
        <x:v>必选</x:v>
      </x:c>
      <x:c r="H22" s="41" t="str">
        <x:v>安全专项</x:v>
      </x:c>
      <x:c r="I22" s="41" t="str">
        <x:v>错误定位至文件/工作表/行/列；失败批次不得部分发布。</x:v>
      </x:c>
      <x:c r="J22" s="47" t="n">
        <x:v>20</x:v>
      </x:c>
      <x:c r="K22" s="48" t="n">
        <x:f>J22*'报价参数'!$B$5*'报价参数'!$B$6*(1+'报价参数'!$B$7)/10000</x:f>
        <x:v>6.241280000000001</x:v>
      </x:c>
      <x:c r="L22" s="53" t="str">
        <x:v>纳入</x:v>
      </x:c>
      <x:c r="M22" s="53"/>
    </x:row>
    <x:row r="23" ht="44" customHeight="1">
      <x:c r="A23" s="38" t="str">
        <x:v>MRP-INGEST-04</x:v>
      </x:c>
      <x:c r="B23" s="38" t="str">
        <x:v>数据导入与提取</x:v>
      </x:c>
      <x:c r="C23" s="41" t="str">
        <x:v>原始快照与批次血缘</x:v>
      </x:c>
      <x:c r="D23" s="41" t="str">
        <x:v>保留不可变原始快照、来源系统、提取时间、哈希和标准化过程。</x:v>
      </x:c>
      <x:c r="E23" s="41" t="str">
        <x:v>一期（核心平台）</x:v>
      </x:c>
      <x:c r="F23" s="41" t="str">
        <x:v>P0</x:v>
      </x:c>
      <x:c r="G23" s="41" t="str">
        <x:v>必选</x:v>
      </x:c>
      <x:c r="H23" s="41" t="str">
        <x:v>标准产品</x:v>
      </x:c>
      <x:c r="I23" s="41" t="str">
        <x:v>任意标准化记录可追溯到原始批次和转换版本。</x:v>
      </x:c>
      <x:c r="J23" s="47" t="n">
        <x:v>14</x:v>
      </x:c>
      <x:c r="K23" s="48" t="n">
        <x:f>J23*'报价参数'!$B$5*'报价参数'!$B$6*(1+'报价参数'!$B$7)/10000</x:f>
        <x:v>4.368896</x:v>
      </x:c>
      <x:c r="L23" s="53" t="str">
        <x:v>纳入</x:v>
      </x:c>
      <x:c r="M23" s="53"/>
    </x:row>
    <x:row r="24" ht="44" customHeight="1">
      <x:c r="A24" s="40" t="str">
        <x:v>MRP-INGEST-05</x:v>
      </x:c>
      <x:c r="B24" s="40" t="str">
        <x:v>数据导入与提取</x:v>
      </x:c>
      <x:c r="C24" s="43" t="str">
        <x:v>在线提取任务管理</x:v>
      </x:c>
      <x:c r="D24" s="43" t="str">
        <x:v>对医院只读视图、数据仓库或批准接口执行异步提取、重试和进度查询。</x:v>
      </x:c>
      <x:c r="E24" s="43" t="str">
        <x:v>二期（医院试点）</x:v>
      </x:c>
      <x:c r="F24" s="43" t="str">
        <x:v>P0</x:v>
      </x:c>
      <x:c r="G24" s="43" t="str">
        <x:v>建议</x:v>
      </x:c>
      <x:c r="H24" s="43" t="str">
        <x:v>接口实施</x:v>
      </x:c>
      <x:c r="I24" s="43" t="str">
        <x:v>任务可取消、重试、去重；失败不产生可用数据集。</x:v>
      </x:c>
      <x:c r="J24" s="51" t="n">
        <x:v>22</x:v>
      </x:c>
      <x:c r="K24" s="52" t="n">
        <x:f>J24*'报价参数'!$B$5*'报价参数'!$B$6*(1+'报价参数'!$B$7)/10000</x:f>
        <x:v>6.865408</x:v>
      </x:c>
      <x:c r="L24" s="53" t="str">
        <x:v>纳入</x:v>
      </x:c>
      <x:c r="M24" s="53"/>
    </x:row>
    <x:row r="25" ht="44" customHeight="1">
      <x:c r="A25" s="38" t="str">
        <x:v>MRP-COHORT-01</x:v>
      </x:c>
      <x:c r="B25" s="38" t="str">
        <x:v>队列与变量</x:v>
      </x:c>
      <x:c r="C25" s="41" t="str">
        <x:v>可视化队列构建器</x:v>
      </x:c>
      <x:c r="D25" s="41" t="str">
        <x:v>组合纳排条件、事件先后关系、最短随访、首次用药和持续暴露。</x:v>
      </x:c>
      <x:c r="E25" s="41" t="str">
        <x:v>一期（核心平台）</x:v>
      </x:c>
      <x:c r="F25" s="41" t="str">
        <x:v>P0</x:v>
      </x:c>
      <x:c r="G25" s="41" t="str">
        <x:v>必选</x:v>
      </x:c>
      <x:c r="H25" s="41" t="str">
        <x:v>标准产品</x:v>
      </x:c>
      <x:c r="I25" s="41" t="str">
        <x:v>队列条件保存为机器可读版本，支持样本计数预览。</x:v>
      </x:c>
      <x:c r="J25" s="47" t="n">
        <x:v>28</x:v>
      </x:c>
      <x:c r="K25" s="48" t="n">
        <x:f>J25*'报价参数'!$B$5*'报价参数'!$B$6*(1+'报价参数'!$B$7)/10000</x:f>
        <x:v>8.737792</x:v>
      </x:c>
      <x:c r="L25" s="53" t="str">
        <x:v>纳入</x:v>
      </x:c>
      <x:c r="M25" s="53"/>
    </x:row>
    <x:row r="26" ht="44" customHeight="1">
      <x:c r="A26" s="38" t="str">
        <x:v>MRP-COHORT-02</x:v>
      </x:c>
      <x:c r="B26" s="38" t="str">
        <x:v>队列与变量</x:v>
      </x:c>
      <x:c r="C26" s="41" t="str">
        <x:v>患者级纳排轨迹</x:v>
      </x:c>
      <x:c r="D26" s="41" t="str">
        <x:v>记录每条研究记录的纳入、排除及首个排除原因。</x:v>
      </x:c>
      <x:c r="E26" s="41" t="str">
        <x:v>一期（核心平台）</x:v>
      </x:c>
      <x:c r="F26" s="41" t="str">
        <x:v>P0</x:v>
      </x:c>
      <x:c r="G26" s="41" t="str">
        <x:v>必选</x:v>
      </x:c>
      <x:c r="H26" s="41" t="str">
        <x:v>标准产品</x:v>
      </x:c>
      <x:c r="I26" s="41" t="str">
        <x:v>纳排日志可导出并与流程图计数一致。</x:v>
      </x:c>
      <x:c r="J26" s="47" t="n">
        <x:v>16</x:v>
      </x:c>
      <x:c r="K26" s="48" t="n">
        <x:f>J26*'报价参数'!$B$5*'报价参数'!$B$6*(1+'报价参数'!$B$7)/10000</x:f>
        <x:v>4.993024</x:v>
      </x:c>
      <x:c r="L26" s="53" t="str">
        <x:v>纳入</x:v>
      </x:c>
      <x:c r="M26" s="53"/>
    </x:row>
    <x:row r="27" ht="44" customHeight="1">
      <x:c r="A27" s="38" t="str">
        <x:v>MRP-COHORT-03</x:v>
      </x:c>
      <x:c r="B27" s="38" t="str">
        <x:v>队列与变量</x:v>
      </x:c>
      <x:c r="C27" s="41" t="str">
        <x:v>代码集与临床概念组</x:v>
      </x:c>
      <x:c r="D27" s="41" t="str">
        <x:v>维护诊断、手术、检验、药品等版本化代码集。</x:v>
      </x:c>
      <x:c r="E27" s="41" t="str">
        <x:v>一期（核心平台）</x:v>
      </x:c>
      <x:c r="F27" s="41" t="str">
        <x:v>P0</x:v>
      </x:c>
      <x:c r="G27" s="41" t="str">
        <x:v>必选</x:v>
      </x:c>
      <x:c r="H27" s="41" t="str">
        <x:v>标准产品</x:v>
      </x:c>
      <x:c r="I27" s="41" t="str">
        <x:v>代码集有来源、版本、审核状态和影响分析。</x:v>
      </x:c>
      <x:c r="J27" s="47" t="n">
        <x:v>18</x:v>
      </x:c>
      <x:c r="K27" s="48" t="n">
        <x:f>J27*'报价参数'!$B$5*'报价参数'!$B$6*(1+'报价参数'!$B$7)/10000</x:f>
        <x:v>5.617152000000001</x:v>
      </x:c>
      <x:c r="L27" s="53" t="str">
        <x:v>纳入</x:v>
      </x:c>
      <x:c r="M27" s="53"/>
    </x:row>
    <x:row r="28" ht="44" customHeight="1">
      <x:c r="A28" s="39" t="str">
        <x:v>MRP-COHORT-04</x:v>
      </x:c>
      <x:c r="B28" s="39" t="str">
        <x:v>队列与变量</x:v>
      </x:c>
      <x:c r="C28" s="42" t="str">
        <x:v>自然语言条件草稿</x:v>
      </x:c>
      <x:c r="D28" s="42" t="str">
        <x:v>本地模型将研究描述转换为受控条件草稿，用户确认后生效。</x:v>
      </x:c>
      <x:c r="E28" s="42" t="str">
        <x:v>三期（增强扩展）</x:v>
      </x:c>
      <x:c r="F28" s="42" t="str">
        <x:v>P1</x:v>
      </x:c>
      <x:c r="G28" s="42" t="str">
        <x:v>选配</x:v>
      </x:c>
      <x:c r="H28" s="42" t="str">
        <x:v>AI 增强</x:v>
      </x:c>
      <x:c r="I28" s="42" t="str">
        <x:v>AI 不执行自由 SQL；所有条件转为受控表达式并留痕。</x:v>
      </x:c>
      <x:c r="J28" s="49" t="n">
        <x:v>18</x:v>
      </x:c>
      <x:c r="K28" s="50" t="n">
        <x:f>J28*'报价参数'!$B$5*'报价参数'!$B$6*(1+'报价参数'!$B$7)/10000</x:f>
        <x:v>5.617152000000001</x:v>
      </x:c>
      <x:c r="L28" s="53" t="str">
        <x:v>待议</x:v>
      </x:c>
      <x:c r="M28" s="53"/>
    </x:row>
    <x:row r="29" ht="44" customHeight="1">
      <x:c r="A29" s="38" t="str">
        <x:v>MRP-VAR-01</x:v>
      </x:c>
      <x:c r="B29" s="38" t="str">
        <x:v>队列与变量</x:v>
      </x:c>
      <x:c r="C29" s="41" t="str">
        <x:v>变量字典管理</x:v>
      </x:c>
      <x:c r="D29" s="41" t="str">
        <x:v>维护变量名称、类型、单位、来源、时间窗、允许值、缺失编码和版本。</x:v>
      </x:c>
      <x:c r="E29" s="41" t="str">
        <x:v>一期（核心平台）</x:v>
      </x:c>
      <x:c r="F29" s="41" t="str">
        <x:v>P0</x:v>
      </x:c>
      <x:c r="G29" s="41" t="str">
        <x:v>必选</x:v>
      </x:c>
      <x:c r="H29" s="41" t="str">
        <x:v>标准产品</x:v>
      </x:c>
      <x:c r="I29" s="41" t="str">
        <x:v>导出字典与分析数据字段一一对应。</x:v>
      </x:c>
      <x:c r="J29" s="47" t="n">
        <x:v>18</x:v>
      </x:c>
      <x:c r="K29" s="48" t="n">
        <x:f>J29*'报价参数'!$B$5*'报价参数'!$B$6*(1+'报价参数'!$B$7)/10000</x:f>
        <x:v>5.617152000000001</x:v>
      </x:c>
      <x:c r="L29" s="53" t="str">
        <x:v>纳入</x:v>
      </x:c>
      <x:c r="M29" s="53"/>
    </x:row>
    <x:row r="30" ht="44" customHeight="1">
      <x:c r="A30" s="38" t="str">
        <x:v>MRP-VAR-02</x:v>
      </x:c>
      <x:c r="B30" s="38" t="str">
        <x:v>队列与变量</x:v>
      </x:c>
      <x:c r="C30" s="41" t="str">
        <x:v>派生变量与单位转换</x:v>
      </x:c>
      <x:c r="D30" s="41" t="str">
        <x:v>以审核公式生成派生变量，记录输入变量、单位换算和执行版本。</x:v>
      </x:c>
      <x:c r="E30" s="41" t="str">
        <x:v>一期（核心平台）</x:v>
      </x:c>
      <x:c r="F30" s="41" t="str">
        <x:v>P0</x:v>
      </x:c>
      <x:c r="G30" s="41" t="str">
        <x:v>必选</x:v>
      </x:c>
      <x:c r="H30" s="41" t="str">
        <x:v>标准产品</x:v>
      </x:c>
      <x:c r="I30" s="41" t="str">
        <x:v>派生结果可复算，禁止在原始数据上覆盖修改。</x:v>
      </x:c>
      <x:c r="J30" s="47" t="n">
        <x:v>20</x:v>
      </x:c>
      <x:c r="K30" s="48" t="n">
        <x:f>J30*'报价参数'!$B$5*'报价参数'!$B$6*(1+'报价参数'!$B$7)/10000</x:f>
        <x:v>6.241280000000001</x:v>
      </x:c>
      <x:c r="L30" s="53" t="str">
        <x:v>纳入</x:v>
      </x:c>
      <x:c r="M30" s="53"/>
    </x:row>
    <x:row r="31" ht="44" customHeight="1">
      <x:c r="A31" s="38" t="str">
        <x:v>MRP-VAR-03</x:v>
      </x:c>
      <x:c r="B31" s="38" t="str">
        <x:v>队列与变量</x:v>
      </x:c>
      <x:c r="C31" s="41" t="str">
        <x:v>终点判定规则</x:v>
      </x:c>
      <x:c r="D31" s="41" t="str">
        <x:v>配置复合终点、时间窗、优先级和判定来源。</x:v>
      </x:c>
      <x:c r="E31" s="41" t="str">
        <x:v>一期（核心平台）</x:v>
      </x:c>
      <x:c r="F31" s="41" t="str">
        <x:v>P0</x:v>
      </x:c>
      <x:c r="G31" s="41" t="str">
        <x:v>必选</x:v>
      </x:c>
      <x:c r="H31" s="41" t="str">
        <x:v>标准产品+医学配置</x:v>
      </x:c>
      <x:c r="I31" s="41" t="str">
        <x:v>终点可判定率可统计，定义变化使分析失效。</x:v>
      </x:c>
      <x:c r="J31" s="47" t="n">
        <x:v>18</x:v>
      </x:c>
      <x:c r="K31" s="48" t="n">
        <x:f>J31*'报价参数'!$B$5*'报价参数'!$B$6*(1+'报价参数'!$B$7)/10000</x:f>
        <x:v>5.617152000000001</x:v>
      </x:c>
      <x:c r="L31" s="53" t="str">
        <x:v>纳入</x:v>
      </x:c>
      <x:c r="M31" s="53"/>
    </x:row>
    <x:row r="32" ht="44" customHeight="1">
      <x:c r="A32" s="38" t="str">
        <x:v>MRP-DQ-01</x:v>
      </x:c>
      <x:c r="B32" s="38" t="str">
        <x:v>数据质量与冻结</x:v>
      </x:c>
      <x:c r="C32" s="41" t="str">
        <x:v>完整性与缺失矩阵</x:v>
      </x:c>
      <x:c r="D32" s="41" t="str">
        <x:v>按变量、时间窗、分组展示缺失率并区分未采集、不适用、未知和失访。</x:v>
      </x:c>
      <x:c r="E32" s="41" t="str">
        <x:v>一期（核心平台）</x:v>
      </x:c>
      <x:c r="F32" s="41" t="str">
        <x:v>P0</x:v>
      </x:c>
      <x:c r="G32" s="41" t="str">
        <x:v>必选</x:v>
      </x:c>
      <x:c r="H32" s="41" t="str">
        <x:v>标准产品</x:v>
      </x:c>
      <x:c r="I32" s="41" t="str">
        <x:v>关键缺失触发阻断，未知值不得当作正常值。</x:v>
      </x:c>
      <x:c r="J32" s="47" t="n">
        <x:v>16</x:v>
      </x:c>
      <x:c r="K32" s="48" t="n">
        <x:f>J32*'报价参数'!$B$5*'报价参数'!$B$6*(1+'报价参数'!$B$7)/10000</x:f>
        <x:v>4.993024</x:v>
      </x:c>
      <x:c r="L32" s="53" t="str">
        <x:v>纳入</x:v>
      </x:c>
      <x:c r="M32" s="53"/>
    </x:row>
    <x:row r="33" ht="44" customHeight="1">
      <x:c r="A33" s="38" t="str">
        <x:v>MRP-DQ-02</x:v>
      </x:c>
      <x:c r="B33" s="38" t="str">
        <x:v>数据质量与冻结</x:v>
      </x:c>
      <x:c r="C33" s="41" t="str">
        <x:v>重复与引用完整性</x:v>
      </x:c>
      <x:c r="D33" s="41" t="str">
        <x:v>识别重复患者/事件/批次、孤立记录和跨表引用缺失。</x:v>
      </x:c>
      <x:c r="E33" s="41" t="str">
        <x:v>一期（核心平台）</x:v>
      </x:c>
      <x:c r="F33" s="41" t="str">
        <x:v>P0</x:v>
      </x:c>
      <x:c r="G33" s="41" t="str">
        <x:v>必选</x:v>
      </x:c>
      <x:c r="H33" s="41" t="str">
        <x:v>标准产品</x:v>
      </x:c>
      <x:c r="I33" s="41" t="str">
        <x:v>问题可定位、分派、整改和复核。</x:v>
      </x:c>
      <x:c r="J33" s="47" t="n">
        <x:v>14</x:v>
      </x:c>
      <x:c r="K33" s="48" t="n">
        <x:f>J33*'报价参数'!$B$5*'报价参数'!$B$6*(1+'报价参数'!$B$7)/10000</x:f>
        <x:v>4.368896</x:v>
      </x:c>
      <x:c r="L33" s="53" t="str">
        <x:v>纳入</x:v>
      </x:c>
      <x:c r="M33" s="53"/>
    </x:row>
    <x:row r="34" ht="44" customHeight="1">
      <x:c r="A34" s="38" t="str">
        <x:v>MRP-DQ-03</x:v>
      </x:c>
      <x:c r="B34" s="38" t="str">
        <x:v>数据质量与冻结</x:v>
      </x:c>
      <x:c r="C34" s="41" t="str">
        <x:v>范围与时间逻辑校验</x:v>
      </x:c>
      <x:c r="D34" s="41" t="str">
        <x:v>检查异常值、单位冲突、日期先后、随访和暴露时间逻辑。</x:v>
      </x:c>
      <x:c r="E34" s="41" t="str">
        <x:v>一期（核心平台）</x:v>
      </x:c>
      <x:c r="F34" s="41" t="str">
        <x:v>P0</x:v>
      </x:c>
      <x:c r="G34" s="41" t="str">
        <x:v>必选</x:v>
      </x:c>
      <x:c r="H34" s="41" t="str">
        <x:v>标准产品</x:v>
      </x:c>
      <x:c r="I34" s="41" t="str">
        <x:v>规则命中事实、严重度和处理结果可审计。</x:v>
      </x:c>
      <x:c r="J34" s="47" t="n">
        <x:v>18</x:v>
      </x:c>
      <x:c r="K34" s="48" t="n">
        <x:f>J34*'报价参数'!$B$5*'报价参数'!$B$6*(1+'报价参数'!$B$7)/10000</x:f>
        <x:v>5.617152000000001</x:v>
      </x:c>
      <x:c r="L34" s="53" t="str">
        <x:v>纳入</x:v>
      </x:c>
      <x:c r="M34" s="53"/>
    </x:row>
    <x:row r="35" ht="44" customHeight="1">
      <x:c r="A35" s="40" t="str">
        <x:v>MRP-DQ-04</x:v>
      </x:c>
      <x:c r="B35" s="40" t="str">
        <x:v>数据质量与冻结</x:v>
      </x:c>
      <x:c r="C35" s="43" t="str">
        <x:v>分布与数据漂移</x:v>
      </x:c>
      <x:c r="D35" s="43" t="str">
        <x:v>比较批次、科室或时间段的分布差异并识别提取异常。</x:v>
      </x:c>
      <x:c r="E35" s="43" t="str">
        <x:v>二期（医院试点）</x:v>
      </x:c>
      <x:c r="F35" s="43" t="str">
        <x:v>P1</x:v>
      </x:c>
      <x:c r="G35" s="43" t="str">
        <x:v>建议</x:v>
      </x:c>
      <x:c r="H35" s="43" t="str">
        <x:v>标准产品</x:v>
      </x:c>
      <x:c r="I35" s="43" t="str">
        <x:v>漂移告警可追溯到字段、批次和数据源。</x:v>
      </x:c>
      <x:c r="J35" s="51" t="n">
        <x:v>14</x:v>
      </x:c>
      <x:c r="K35" s="52" t="n">
        <x:f>J35*'报价参数'!$B$5*'报价参数'!$B$6*(1+'报价参数'!$B$7)/10000</x:f>
        <x:v>4.368896</x:v>
      </x:c>
      <x:c r="L35" s="53" t="str">
        <x:v>纳入</x:v>
      </x:c>
      <x:c r="M35" s="53"/>
    </x:row>
    <x:row r="36" ht="44" customHeight="1">
      <x:c r="A36" s="38" t="str">
        <x:v>MRP-DQ-05</x:v>
      </x:c>
      <x:c r="B36" s="38" t="str">
        <x:v>数据质量与冻结</x:v>
      </x:c>
      <x:c r="C36" s="41" t="str">
        <x:v>质控问题闭环</x:v>
      </x:c>
      <x:c r="D36" s="41" t="str">
        <x:v>问题分派、修复说明、复核、豁免及版本差异。</x:v>
      </x:c>
      <x:c r="E36" s="41" t="str">
        <x:v>一期（核心平台）</x:v>
      </x:c>
      <x:c r="F36" s="41" t="str">
        <x:v>P0</x:v>
      </x:c>
      <x:c r="G36" s="41" t="str">
        <x:v>必选</x:v>
      </x:c>
      <x:c r="H36" s="41" t="str">
        <x:v>标准产品</x:v>
      </x:c>
      <x:c r="I36" s="41" t="str">
        <x:v>严重问题未关闭不得冻结。</x:v>
      </x:c>
      <x:c r="J36" s="47" t="n">
        <x:v>14</x:v>
      </x:c>
      <x:c r="K36" s="48" t="n">
        <x:f>J36*'报价参数'!$B$5*'报价参数'!$B$6*(1+'报价参数'!$B$7)/10000</x:f>
        <x:v>4.368896</x:v>
      </x:c>
      <x:c r="L36" s="53" t="str">
        <x:v>纳入</x:v>
      </x:c>
      <x:c r="M36" s="53"/>
    </x:row>
    <x:row r="37" ht="44" customHeight="1">
      <x:c r="A37" s="38" t="str">
        <x:v>MRP-FREEZE-01</x:v>
      </x:c>
      <x:c r="B37" s="38" t="str">
        <x:v>数据质量与冻结</x:v>
      </x:c>
      <x:c r="C37" s="41" t="str">
        <x:v>数据集冻结与哈希</x:v>
      </x:c>
      <x:c r="D37" s="41" t="str">
        <x:v>生成不可变数据集版本、记录数、字段数、输入版本和 SHA-256。</x:v>
      </x:c>
      <x:c r="E37" s="41" t="str">
        <x:v>一期（核心平台）</x:v>
      </x:c>
      <x:c r="F37" s="41" t="str">
        <x:v>P0</x:v>
      </x:c>
      <x:c r="G37" s="41" t="str">
        <x:v>必选</x:v>
      </x:c>
      <x:c r="H37" s="41" t="str">
        <x:v>标准产品</x:v>
      </x:c>
      <x:c r="I37" s="41" t="str">
        <x:v>冻结后不可编辑；修改形成新版本。</x:v>
      </x:c>
      <x:c r="J37" s="47" t="n">
        <x:v>14</x:v>
      </x:c>
      <x:c r="K37" s="48" t="n">
        <x:f>J37*'报价参数'!$B$5*'报价参数'!$B$6*(1+'报价参数'!$B$7)/10000</x:f>
        <x:v>4.368896</x:v>
      </x:c>
      <x:c r="L37" s="53" t="str">
        <x:v>纳入</x:v>
      </x:c>
      <x:c r="M37" s="53"/>
    </x:row>
    <x:row r="38" ht="44" customHeight="1">
      <x:c r="A38" s="38" t="str">
        <x:v>MRP-FREEZE-02</x:v>
      </x:c>
      <x:c r="B38" s="38" t="str">
        <x:v>数据质量与冻结</x:v>
      </x:c>
      <x:c r="C38" s="41" t="str">
        <x:v>版本比较与下游失效</x:v>
      </x:c>
      <x:c r="D38" s="41" t="str">
        <x:v>比较数据集版本并在上游变更后自动标记旧分析和报告失效。</x:v>
      </x:c>
      <x:c r="E38" s="41" t="str">
        <x:v>一期（核心平台）</x:v>
      </x:c>
      <x:c r="F38" s="41" t="str">
        <x:v>P0</x:v>
      </x:c>
      <x:c r="G38" s="41" t="str">
        <x:v>必选</x:v>
      </x:c>
      <x:c r="H38" s="41" t="str">
        <x:v>标准产品</x:v>
      </x:c>
      <x:c r="I38" s="41" t="str">
        <x:v>状态衔接真实，页面刷新后不丢失。</x:v>
      </x:c>
      <x:c r="J38" s="47" t="n">
        <x:v>16</x:v>
      </x:c>
      <x:c r="K38" s="48" t="n">
        <x:f>J38*'报价参数'!$B$5*'报价参数'!$B$6*(1+'报价参数'!$B$7)/10000</x:f>
        <x:v>4.993024</x:v>
      </x:c>
      <x:c r="L38" s="53" t="str">
        <x:v>纳入</x:v>
      </x:c>
      <x:c r="M38" s="53"/>
    </x:row>
    <x:row r="39" ht="44" customHeight="1">
      <x:c r="A39" s="38" t="str">
        <x:v>MRP-SAP-01</x:v>
      </x:c>
      <x:c r="B39" s="38" t="str">
        <x:v>统计分析计划</x:v>
      </x:c>
      <x:c r="C39" s="41" t="str">
        <x:v>SAP 编辑与版本审核</x:v>
      </x:c>
      <x:c r="D39" s="41" t="str">
        <x:v>定义假设、分析集、方法、效应量、CI、多重比较、缺失、亚组和敏感性分析。</x:v>
      </x:c>
      <x:c r="E39" s="41" t="str">
        <x:v>一期（核心平台）</x:v>
      </x:c>
      <x:c r="F39" s="41" t="str">
        <x:v>P0</x:v>
      </x:c>
      <x:c r="G39" s="41" t="str">
        <x:v>必选</x:v>
      </x:c>
      <x:c r="H39" s="41" t="str">
        <x:v>标准产品</x:v>
      </x:c>
      <x:c r="I39" s="41" t="str">
        <x:v>未审核 SAP 不得发起正式分析。</x:v>
      </x:c>
      <x:c r="J39" s="47" t="n">
        <x:v>24</x:v>
      </x:c>
      <x:c r="K39" s="48" t="n">
        <x:f>J39*'报价参数'!$B$5*'报价参数'!$B$6*(1+'报价参数'!$B$7)/10000</x:f>
        <x:v>7.489536</x:v>
      </x:c>
      <x:c r="L39" s="53" t="str">
        <x:v>纳入</x:v>
      </x:c>
      <x:c r="M39" s="53"/>
    </x:row>
    <x:row r="40" ht="44" customHeight="1">
      <x:c r="A40" s="38" t="str">
        <x:v>MRP-SAP-02</x:v>
      </x:c>
      <x:c r="B40" s="38" t="str">
        <x:v>统计分析计划</x:v>
      </x:c>
      <x:c r="C40" s="41" t="str">
        <x:v>算法适用性检查</x:v>
      </x:c>
      <x:c r="D40" s="41" t="str">
        <x:v>根据结局类型、分布、样本量和研究设计检查统计方法适用条件。</x:v>
      </x:c>
      <x:c r="E40" s="41" t="str">
        <x:v>一期（核心平台）</x:v>
      </x:c>
      <x:c r="F40" s="41" t="str">
        <x:v>P0</x:v>
      </x:c>
      <x:c r="G40" s="41" t="str">
        <x:v>必选</x:v>
      </x:c>
      <x:c r="H40" s="41" t="str">
        <x:v>统计专项</x:v>
      </x:c>
      <x:c r="I40" s="41" t="str">
        <x:v>不满足条件时阻断或要求统计师确认替代方案。</x:v>
      </x:c>
      <x:c r="J40" s="47" t="n">
        <x:v>20</x:v>
      </x:c>
      <x:c r="K40" s="48" t="n">
        <x:f>J40*'报价参数'!$B$5*'报价参数'!$B$6*(1+'报价参数'!$B$7)/10000</x:f>
        <x:v>6.241280000000001</x:v>
      </x:c>
      <x:c r="L40" s="53" t="str">
        <x:v>纳入</x:v>
      </x:c>
      <x:c r="M40" s="53"/>
    </x:row>
    <x:row r="41" ht="44" customHeight="1">
      <x:c r="A41" s="38" t="str">
        <x:v>MRP-SAP-03</x:v>
      </x:c>
      <x:c r="B41" s="38" t="str">
        <x:v>统计分析计划</x:v>
      </x:c>
      <x:c r="C41" s="41" t="str">
        <x:v>缺失与偏倚控制方案</x:v>
      </x:c>
      <x:c r="D41" s="41" t="str">
        <x:v>预设完整病例、多重插补、混杂控制、选择偏倚和敏感性策略。</x:v>
      </x:c>
      <x:c r="E41" s="41" t="str">
        <x:v>一期（核心平台）</x:v>
      </x:c>
      <x:c r="F41" s="41" t="str">
        <x:v>P0</x:v>
      </x:c>
      <x:c r="G41" s="41" t="str">
        <x:v>必选</x:v>
      </x:c>
      <x:c r="H41" s="41" t="str">
        <x:v>统计专项</x:v>
      </x:c>
      <x:c r="I41" s="41" t="str">
        <x:v>策略在运行前冻结，报告自动披露。</x:v>
      </x:c>
      <x:c r="J41" s="47" t="n">
        <x:v>16</x:v>
      </x:c>
      <x:c r="K41" s="48" t="n">
        <x:f>J41*'报价参数'!$B$5*'报价参数'!$B$6*(1+'报价参数'!$B$7)/10000</x:f>
        <x:v>4.993024</x:v>
      </x:c>
      <x:c r="L41" s="53" t="str">
        <x:v>纳入</x:v>
      </x:c>
      <x:c r="M41" s="53"/>
    </x:row>
    <x:row r="42" ht="44" customHeight="1">
      <x:c r="A42" s="38" t="str">
        <x:v>MRP-SAP-04</x:v>
      </x:c>
      <x:c r="B42" s="38" t="str">
        <x:v>统计分析计划</x:v>
      </x:c>
      <x:c r="C42" s="41" t="str">
        <x:v>统计师电子审核</x:v>
      </x:c>
      <x:c r="D42" s="41" t="str">
        <x:v>统计师批准、驳回、批注并锁定 SAP 版本。</x:v>
      </x:c>
      <x:c r="E42" s="41" t="str">
        <x:v>一期（核心平台）</x:v>
      </x:c>
      <x:c r="F42" s="41" t="str">
        <x:v>P0</x:v>
      </x:c>
      <x:c r="G42" s="41" t="str">
        <x:v>必选</x:v>
      </x:c>
      <x:c r="H42" s="41" t="str">
        <x:v>标准产品</x:v>
      </x:c>
      <x:c r="I42" s="41" t="str">
        <x:v>审核人身份不可伪造，管理员不可跳过。</x:v>
      </x:c>
      <x:c r="J42" s="47" t="n">
        <x:v>12</x:v>
      </x:c>
      <x:c r="K42" s="48" t="n">
        <x:f>J42*'报价参数'!$B$5*'报价参数'!$B$6*(1+'报价参数'!$B$7)/10000</x:f>
        <x:v>3.744768</x:v>
      </x:c>
      <x:c r="L42" s="53" t="str">
        <x:v>纳入</x:v>
      </x:c>
      <x:c r="M42" s="53"/>
    </x:row>
    <x:row r="43" ht="44" customHeight="1">
      <x:c r="A43" s="38" t="str">
        <x:v>MRP-AN-01</x:v>
      </x:c>
      <x:c r="B43" s="38" t="str">
        <x:v>统计与机器学习</x:v>
      </x:c>
      <x:c r="C43" s="41" t="str">
        <x:v>描述统计与基线表</x:v>
      </x:c>
      <x:c r="D43" s="41" t="str">
        <x:v>按变量类型输出计数、比例、均值/标准差或中位数/IQR及缺失。</x:v>
      </x:c>
      <x:c r="E43" s="41" t="str">
        <x:v>一期（核心平台）</x:v>
      </x:c>
      <x:c r="F43" s="41" t="str">
        <x:v>P0</x:v>
      </x:c>
      <x:c r="G43" s="41" t="str">
        <x:v>必选</x:v>
      </x:c>
      <x:c r="H43" s="41" t="str">
        <x:v>Python/R 工作流</x:v>
      </x:c>
      <x:c r="I43" s="41" t="str">
        <x:v>结果含样本量、单位、方法和来源。</x:v>
      </x:c>
      <x:c r="J43" s="47" t="n">
        <x:v>20</x:v>
      </x:c>
      <x:c r="K43" s="48" t="n">
        <x:f>J43*'报价参数'!$B$5*'报价参数'!$B$6*(1+'报价参数'!$B$7)/10000</x:f>
        <x:v>6.241280000000001</x:v>
      </x:c>
      <x:c r="L43" s="53" t="str">
        <x:v>纳入</x:v>
      </x:c>
      <x:c r="M43" s="53"/>
    </x:row>
    <x:row r="44" ht="44" customHeight="1">
      <x:c r="A44" s="38" t="str">
        <x:v>MRP-AN-02</x:v>
      </x:c>
      <x:c r="B44" s="38" t="str">
        <x:v>统计与机器学习</x:v>
      </x:c>
      <x:c r="C44" s="41" t="str">
        <x:v>组间检验与效应量</x:v>
      </x:c>
      <x:c r="D44" s="41" t="str">
        <x:v>支持 t、Mann-Whitney U、卡方、Fisher 等及效应量和 95% CI。</x:v>
      </x:c>
      <x:c r="E44" s="41" t="str">
        <x:v>一期（核心平台）</x:v>
      </x:c>
      <x:c r="F44" s="41" t="str">
        <x:v>P0</x:v>
      </x:c>
      <x:c r="G44" s="41" t="str">
        <x:v>必选</x:v>
      </x:c>
      <x:c r="H44" s="41" t="str">
        <x:v>Python/R 工作流</x:v>
      </x:c>
      <x:c r="I44" s="41" t="str">
        <x:v>方法选择符合数据条件，不仅输出 P 值。</x:v>
      </x:c>
      <x:c r="J44" s="47" t="n">
        <x:v>18</x:v>
      </x:c>
      <x:c r="K44" s="48" t="n">
        <x:f>J44*'报价参数'!$B$5*'报价参数'!$B$6*(1+'报价参数'!$B$7)/10000</x:f>
        <x:v>5.617152000000001</x:v>
      </x:c>
      <x:c r="L44" s="53" t="str">
        <x:v>纳入</x:v>
      </x:c>
      <x:c r="M44" s="53"/>
    </x:row>
    <x:row r="45" ht="44" customHeight="1">
      <x:c r="A45" s="38" t="str">
        <x:v>MRP-AN-03</x:v>
      </x:c>
      <x:c r="B45" s="38" t="str">
        <x:v>统计与机器学习</x:v>
      </x:c>
      <x:c r="C45" s="41" t="str">
        <x:v>回归分析</x:v>
      </x:c>
      <x:c r="D45" s="41" t="str">
        <x:v>支持线性、Logistic 和常用广义模型，输出估计、CI 和模型诊断。</x:v>
      </x:c>
      <x:c r="E45" s="41" t="str">
        <x:v>一期（核心平台）</x:v>
      </x:c>
      <x:c r="F45" s="41" t="str">
        <x:v>P0</x:v>
      </x:c>
      <x:c r="G45" s="41" t="str">
        <x:v>必选</x:v>
      </x:c>
      <x:c r="H45" s="41" t="str">
        <x:v>Python/R 工作流</x:v>
      </x:c>
      <x:c r="I45" s="41" t="str">
        <x:v>共线性、拟合和残差诊断可查看。</x:v>
      </x:c>
      <x:c r="J45" s="47" t="n">
        <x:v>24</x:v>
      </x:c>
      <x:c r="K45" s="48" t="n">
        <x:f>J45*'报价参数'!$B$5*'报价参数'!$B$6*(1+'报价参数'!$B$7)/10000</x:f>
        <x:v>7.489536</x:v>
      </x:c>
      <x:c r="L45" s="53" t="str">
        <x:v>纳入</x:v>
      </x:c>
      <x:c r="M45" s="53"/>
    </x:row>
    <x:row r="46" ht="44" customHeight="1">
      <x:c r="A46" s="38" t="str">
        <x:v>MRP-AN-04</x:v>
      </x:c>
      <x:c r="B46" s="38" t="str">
        <x:v>统计与机器学习</x:v>
      </x:c>
      <x:c r="C46" s="41" t="str">
        <x:v>诊断效能分析</x:v>
      </x:c>
      <x:c r="D46" s="41" t="str">
        <x:v>支持 ROC、DeLong、阈值、敏感度、特异度、校准和 DCA。</x:v>
      </x:c>
      <x:c r="E46" s="41" t="str">
        <x:v>一期（核心平台）</x:v>
      </x:c>
      <x:c r="F46" s="41" t="str">
        <x:v>P0</x:v>
      </x:c>
      <x:c r="G46" s="41" t="str">
        <x:v>必选</x:v>
      </x:c>
      <x:c r="H46" s="41" t="str">
        <x:v>Python/R 工作流</x:v>
      </x:c>
      <x:c r="I46" s="41" t="str">
        <x:v>联合与单指标结果可比较，含 95% CI。</x:v>
      </x:c>
      <x:c r="J46" s="47" t="n">
        <x:v>24</x:v>
      </x:c>
      <x:c r="K46" s="48" t="n">
        <x:f>J46*'报价参数'!$B$5*'报价参数'!$B$6*(1+'报价参数'!$B$7)/10000</x:f>
        <x:v>7.489536</x:v>
      </x:c>
      <x:c r="L46" s="53" t="str">
        <x:v>纳入</x:v>
      </x:c>
      <x:c r="M46" s="53"/>
    </x:row>
    <x:row r="47" ht="44" customHeight="1">
      <x:c r="A47" s="38" t="str">
        <x:v>MRP-AN-05</x:v>
      </x:c>
      <x:c r="B47" s="38" t="str">
        <x:v>统计与机器学习</x:v>
      </x:c>
      <x:c r="C47" s="41" t="str">
        <x:v>生存分析</x:v>
      </x:c>
      <x:c r="D47" s="41" t="str">
        <x:v>支持 KM、风险表、log-rank、Cox 和比例风险假设检查。</x:v>
      </x:c>
      <x:c r="E47" s="41" t="str">
        <x:v>一期（核心平台）</x:v>
      </x:c>
      <x:c r="F47" s="41" t="str">
        <x:v>P0</x:v>
      </x:c>
      <x:c r="G47" s="41" t="str">
        <x:v>必选</x:v>
      </x:c>
      <x:c r="H47" s="41" t="str">
        <x:v>Python/R 工作流</x:v>
      </x:c>
      <x:c r="I47" s="41" t="str">
        <x:v>删失、风险集、HR、CI 和 PH 诊断完整。</x:v>
      </x:c>
      <x:c r="J47" s="47" t="n">
        <x:v>26</x:v>
      </x:c>
      <x:c r="K47" s="48" t="n">
        <x:f>J47*'报价参数'!$B$5*'报价参数'!$B$6*(1+'报价参数'!$B$7)/10000</x:f>
        <x:v>8.113664</x:v>
      </x:c>
      <x:c r="L47" s="53" t="str">
        <x:v>纳入</x:v>
      </x:c>
      <x:c r="M47" s="53"/>
    </x:row>
    <x:row r="48" ht="44" customHeight="1">
      <x:c r="A48" s="38" t="str">
        <x:v>MRP-AN-06</x:v>
      </x:c>
      <x:c r="B48" s="38" t="str">
        <x:v>统计与机器学习</x:v>
      </x:c>
      <x:c r="C48" s="41" t="str">
        <x:v>倾向评分与加权</x:v>
      </x:c>
      <x:c r="D48" s="41" t="str">
        <x:v>支持 PSM/IPTW、权重截断、平衡 SMD 和 positivity 诊断。</x:v>
      </x:c>
      <x:c r="E48" s="41" t="str">
        <x:v>一期（核心平台）</x:v>
      </x:c>
      <x:c r="F48" s="41" t="str">
        <x:v>P0</x:v>
      </x:c>
      <x:c r="G48" s="41" t="str">
        <x:v>必选</x:v>
      </x:c>
      <x:c r="H48" s="41" t="str">
        <x:v>Python/R 工作流</x:v>
      </x:c>
      <x:c r="I48" s="41" t="str">
        <x:v>匹配/加权前后平衡可审计，方法需统计师审核。</x:v>
      </x:c>
      <x:c r="J48" s="47" t="n">
        <x:v>28</x:v>
      </x:c>
      <x:c r="K48" s="48" t="n">
        <x:f>J48*'报价参数'!$B$5*'报价参数'!$B$6*(1+'报价参数'!$B$7)/10000</x:f>
        <x:v>8.737792</x:v>
      </x:c>
      <x:c r="L48" s="53" t="str">
        <x:v>纳入</x:v>
      </x:c>
      <x:c r="M48" s="53"/>
    </x:row>
    <x:row r="49" ht="44" customHeight="1">
      <x:c r="A49" s="38" t="str">
        <x:v>MRP-AN-07</x:v>
      </x:c>
      <x:c r="B49" s="38" t="str">
        <x:v>统计与机器学习</x:v>
      </x:c>
      <x:c r="C49" s="41" t="str">
        <x:v>一致性与方法比较</x:v>
      </x:c>
      <x:c r="D49" s="41" t="str">
        <x:v>支持 Kappa、ICC、Bland-Altman 等实验室质量研究方法。</x:v>
      </x:c>
      <x:c r="E49" s="41" t="str">
        <x:v>一期（核心平台）</x:v>
      </x:c>
      <x:c r="F49" s="41" t="str">
        <x:v>P0</x:v>
      </x:c>
      <x:c r="G49" s="41" t="str">
        <x:v>必选</x:v>
      </x:c>
      <x:c r="H49" s="41" t="str">
        <x:v>Python/R 工作流</x:v>
      </x:c>
      <x:c r="I49" s="41" t="str">
        <x:v>适用尺度、CI 和一致性界限完整。</x:v>
      </x:c>
      <x:c r="J49" s="47" t="n">
        <x:v>20</x:v>
      </x:c>
      <x:c r="K49" s="48" t="n">
        <x:f>J49*'报价参数'!$B$5*'报价参数'!$B$6*(1+'报价参数'!$B$7)/10000</x:f>
        <x:v>6.241280000000001</x:v>
      </x:c>
      <x:c r="L49" s="53" t="str">
        <x:v>纳入</x:v>
      </x:c>
      <x:c r="M49" s="53"/>
    </x:row>
    <x:row r="50" ht="44" customHeight="1">
      <x:c r="A50" s="38" t="str">
        <x:v>MRP-AN-08</x:v>
      </x:c>
      <x:c r="B50" s="38" t="str">
        <x:v>统计与机器学习</x:v>
      </x:c>
      <x:c r="C50" s="41" t="str">
        <x:v>亚组与敏感性分析</x:v>
      </x:c>
      <x:c r="D50" s="41" t="str">
        <x:v>按预设亚组、替代定义、权重和缺失策略执行稳健性分析。</x:v>
      </x:c>
      <x:c r="E50" s="41" t="str">
        <x:v>一期（核心平台）</x:v>
      </x:c>
      <x:c r="F50" s="41" t="str">
        <x:v>P0</x:v>
      </x:c>
      <x:c r="G50" s="41" t="str">
        <x:v>必选</x:v>
      </x:c>
      <x:c r="H50" s="41" t="str">
        <x:v>Python/R 工作流</x:v>
      </x:c>
      <x:c r="I50" s="41" t="str">
        <x:v>所有分析预设并与主分析版本绑定。</x:v>
      </x:c>
      <x:c r="J50" s="47" t="n">
        <x:v>22</x:v>
      </x:c>
      <x:c r="K50" s="48" t="n">
        <x:f>J50*'报价参数'!$B$5*'报价参数'!$B$6*(1+'报价参数'!$B$7)/10000</x:f>
        <x:v>6.865408</x:v>
      </x:c>
      <x:c r="L50" s="53" t="str">
        <x:v>纳入</x:v>
      </x:c>
      <x:c r="M50" s="53"/>
    </x:row>
    <x:row r="51" ht="44" customHeight="1">
      <x:c r="A51" s="39" t="str">
        <x:v>MRP-AN-09</x:v>
      </x:c>
      <x:c r="B51" s="39" t="str">
        <x:v>统计与机器学习</x:v>
      </x:c>
      <x:c r="C51" s="42" t="str">
        <x:v>临床预测模型</x:v>
      </x:c>
      <x:c r="D51" s="42" t="str">
        <x:v>支持 LASSO、随机森林等模型、交叉验证、校准和内部验证。</x:v>
      </x:c>
      <x:c r="E51" s="42" t="str">
        <x:v>三期（增强扩展）</x:v>
      </x:c>
      <x:c r="F51" s="42" t="str">
        <x:v>P1</x:v>
      </x:c>
      <x:c r="G51" s="42" t="str">
        <x:v>选配</x:v>
      </x:c>
      <x:c r="H51" s="42" t="str">
        <x:v>算法专项</x:v>
      </x:c>
      <x:c r="I51" s="42" t="str">
        <x:v>测试集不用于调参；输出 AUC/C-index、校准和过拟合提示。</x:v>
      </x:c>
      <x:c r="J51" s="49" t="n">
        <x:v>32</x:v>
      </x:c>
      <x:c r="K51" s="50" t="n">
        <x:f>J51*'报价参数'!$B$5*'报价参数'!$B$6*(1+'报价参数'!$B$7)/10000</x:f>
        <x:v>9.986048</x:v>
      </x:c>
      <x:c r="L51" s="53" t="str">
        <x:v>待议</x:v>
      </x:c>
      <x:c r="M51" s="53"/>
    </x:row>
    <x:row r="52" ht="44" customHeight="1">
      <x:c r="A52" s="38" t="str">
        <x:v>MRP-AN-10</x:v>
      </x:c>
      <x:c r="B52" s="38" t="str">
        <x:v>统计与机器学习</x:v>
      </x:c>
      <x:c r="C52" s="41" t="str">
        <x:v>异步任务与运行复现</x:v>
      </x:c>
      <x:c r="D52" s="41" t="str">
        <x:v>记录数据、代码、环境、参数、随机种子、日志、结果哈希并支持重试。</x:v>
      </x:c>
      <x:c r="E52" s="41" t="str">
        <x:v>一期（核心平台）</x:v>
      </x:c>
      <x:c r="F52" s="41" t="str">
        <x:v>P0</x:v>
      </x:c>
      <x:c r="G52" s="41" t="str">
        <x:v>必选</x:v>
      </x:c>
      <x:c r="H52" s="41" t="str">
        <x:v>标准产品+Worker</x:v>
      </x:c>
      <x:c r="I52" s="41" t="str">
        <x:v>同一输入和环境产生可复核结果；失败任务不可发布。</x:v>
      </x:c>
      <x:c r="J52" s="47" t="n">
        <x:v>26</x:v>
      </x:c>
      <x:c r="K52" s="48" t="n">
        <x:f>J52*'报价参数'!$B$5*'报价参数'!$B$6*(1+'报价参数'!$B$7)/10000</x:f>
        <x:v>8.113664</x:v>
      </x:c>
      <x:c r="L52" s="53" t="str">
        <x:v>纳入</x:v>
      </x:c>
      <x:c r="M52" s="53"/>
    </x:row>
    <x:row r="53" ht="44" customHeight="1">
      <x:c r="A53" s="38" t="str">
        <x:v>MRP-FIG-01</x:v>
      </x:c>
      <x:c r="B53" s="38" t="str">
        <x:v>科研图表引擎</x:v>
      </x:c>
      <x:c r="C53" s="41" t="str">
        <x:v>首批 20 类医学图表模板</x:v>
      </x:c>
      <x:c r="D53" s="41" t="str">
        <x:v>提供 ROC、KM、森林图、校准、DCA、流程图、热图、Bland-Altman 等模板。</x:v>
      </x:c>
      <x:c r="E53" s="41" t="str">
        <x:v>一期（核心平台）</x:v>
      </x:c>
      <x:c r="F53" s="41" t="str">
        <x:v>P0</x:v>
      </x:c>
      <x:c r="G53" s="41" t="str">
        <x:v>必选</x:v>
      </x:c>
      <x:c r="H53" s="41" t="str">
        <x:v>图表专项</x:v>
      </x:c>
      <x:c r="I53" s="41" t="str">
        <x:v>至少 20 类模板通过金标准数据和视觉验收。</x:v>
      </x:c>
      <x:c r="J53" s="47" t="n">
        <x:v>36</x:v>
      </x:c>
      <x:c r="K53" s="48" t="n">
        <x:f>J53*'报价参数'!$B$5*'报价参数'!$B$6*(1+'报价参数'!$B$7)/10000</x:f>
        <x:v>11.234304000000002</x:v>
      </x:c>
      <x:c r="L53" s="53" t="str">
        <x:v>纳入</x:v>
      </x:c>
      <x:c r="M53" s="53"/>
    </x:row>
    <x:row r="54" ht="44" customHeight="1">
      <x:c r="A54" s="39" t="str">
        <x:v>MRP-FIG-02</x:v>
      </x:c>
      <x:c r="B54" s="39" t="str">
        <x:v>科研图表引擎</x:v>
      </x:c>
      <x:c r="C54" s="42" t="str">
        <x:v>期刊样式系统</x:v>
      </x:c>
      <x:c r="D54" s="42" t="str">
        <x:v>提供通用医学、Nature Portfolio、JAMA、Lancet 和自定义样式预设。</x:v>
      </x:c>
      <x:c r="E54" s="42" t="str">
        <x:v>三期（增强扩展）</x:v>
      </x:c>
      <x:c r="F54" s="42" t="str">
        <x:v>P1</x:v>
      </x:c>
      <x:c r="G54" s="42" t="str">
        <x:v>选配</x:v>
      </x:c>
      <x:c r="H54" s="42" t="str">
        <x:v>图表专项</x:v>
      </x:c>
      <x:c r="I54" s="42" t="str">
        <x:v>尺寸、字体、线宽、配色和面板布局可配置。</x:v>
      </x:c>
      <x:c r="J54" s="49" t="n">
        <x:v>20</x:v>
      </x:c>
      <x:c r="K54" s="50" t="n">
        <x:f>J54*'报价参数'!$B$5*'报价参数'!$B$6*(1+'报价参数'!$B$7)/10000</x:f>
        <x:v>6.241280000000001</x:v>
      </x:c>
      <x:c r="L54" s="53" t="str">
        <x:v>待议</x:v>
      </x:c>
      <x:c r="M54" s="53"/>
    </x:row>
    <x:row r="55" ht="44" customHeight="1">
      <x:c r="A55" s="38" t="str">
        <x:v>MRP-FIG-03</x:v>
      </x:c>
      <x:c r="B55" s="38" t="str">
        <x:v>科研图表引擎</x:v>
      </x:c>
      <x:c r="C55" s="41" t="str">
        <x:v>矢量与高分辨率导出</x:v>
      </x:c>
      <x:c r="D55" s="41" t="str">
        <x:v>输出 PDF/SVG、600 dpi TIFF、PNG 预览及可选 EPS。</x:v>
      </x:c>
      <x:c r="E55" s="41" t="str">
        <x:v>一期（核心平台）</x:v>
      </x:c>
      <x:c r="F55" s="41" t="str">
        <x:v>P0</x:v>
      </x:c>
      <x:c r="G55" s="41" t="str">
        <x:v>必选</x:v>
      </x:c>
      <x:c r="H55" s="41" t="str">
        <x:v>标准产品</x:v>
      </x:c>
      <x:c r="I55" s="41" t="str">
        <x:v>各格式内容一致，图表数据和参数同步归档。</x:v>
      </x:c>
      <x:c r="J55" s="47" t="n">
        <x:v>16</x:v>
      </x:c>
      <x:c r="K55" s="48" t="n">
        <x:f>J55*'报价参数'!$B$5*'报价参数'!$B$6*(1+'报价参数'!$B$7)/10000</x:f>
        <x:v>4.993024</x:v>
      </x:c>
      <x:c r="L55" s="53" t="str">
        <x:v>纳入</x:v>
      </x:c>
      <x:c r="M55" s="53"/>
    </x:row>
    <x:row r="56" ht="44" customHeight="1">
      <x:c r="A56" s="38" t="str">
        <x:v>MRP-FIG-04</x:v>
      </x:c>
      <x:c r="B56" s="38" t="str">
        <x:v>科研图表引擎</x:v>
      </x:c>
      <x:c r="C56" s="41" t="str">
        <x:v>受控图表编辑</x:v>
      </x:c>
      <x:c r="D56" s="41" t="str">
        <x:v>允许修改标签、尺寸、颜色和布局，不允许改写计算值。</x:v>
      </x:c>
      <x:c r="E56" s="41" t="str">
        <x:v>一期（核心平台）</x:v>
      </x:c>
      <x:c r="F56" s="41" t="str">
        <x:v>P0</x:v>
      </x:c>
      <x:c r="G56" s="41" t="str">
        <x:v>必选</x:v>
      </x:c>
      <x:c r="H56" s="41" t="str">
        <x:v>标准产品</x:v>
      </x:c>
      <x:c r="I56" s="41" t="str">
        <x:v>图表始终关联分析运行，人工调整可审计。</x:v>
      </x:c>
      <x:c r="J56" s="47" t="n">
        <x:v>18</x:v>
      </x:c>
      <x:c r="K56" s="48" t="n">
        <x:f>J56*'报价参数'!$B$5*'报价参数'!$B$6*(1+'报价参数'!$B$7)/10000</x:f>
        <x:v>5.617152000000001</x:v>
      </x:c>
      <x:c r="L56" s="53" t="str">
        <x:v>纳入</x:v>
      </x:c>
      <x:c r="M56" s="53"/>
    </x:row>
    <x:row r="57" ht="44" customHeight="1">
      <x:c r="A57" s="38" t="str">
        <x:v>MRP-REP-01</x:v>
      </x:c>
      <x:c r="B57" s="38" t="str">
        <x:v>报告与论文</x:v>
      </x:c>
      <x:c r="C57" s="41" t="str">
        <x:v>结构化数据分析报告</x:v>
      </x:c>
      <x:c r="D57" s="41" t="str">
        <x:v>生成背景、方法、质量、结果、图表、讨论、局限、结论和复现章节。</x:v>
      </x:c>
      <x:c r="E57" s="41" t="str">
        <x:v>一期（核心平台）</x:v>
      </x:c>
      <x:c r="F57" s="41" t="str">
        <x:v>P0</x:v>
      </x:c>
      <x:c r="G57" s="41" t="str">
        <x:v>必选</x:v>
      </x:c>
      <x:c r="H57" s="41" t="str">
        <x:v>报告专项</x:v>
      </x:c>
      <x:c r="I57" s="41" t="str">
        <x:v>DOCX/PDF/HTML 与结构化结果一致。</x:v>
      </x:c>
      <x:c r="J57" s="47" t="n">
        <x:v>28</x:v>
      </x:c>
      <x:c r="K57" s="48" t="n">
        <x:f>J57*'报价参数'!$B$5*'报价参数'!$B$6*(1+'报价参数'!$B$7)/10000</x:f>
        <x:v>8.737792</x:v>
      </x:c>
      <x:c r="L57" s="53" t="str">
        <x:v>纳入</x:v>
      </x:c>
      <x:c r="M57" s="53"/>
    </x:row>
    <x:row r="58" ht="44" customHeight="1">
      <x:c r="A58" s="38" t="str">
        <x:v>MRP-REP-02</x:v>
      </x:c>
      <x:c r="B58" s="38" t="str">
        <x:v>报告与论文</x:v>
      </x:c>
      <x:c r="C58" s="41" t="str">
        <x:v>统计数字与图表追溯</x:v>
      </x:c>
      <x:c r="D58" s="41" t="str">
        <x:v>报告内关键数字、表格和图可追溯到分析运行和数据集版本。</x:v>
      </x:c>
      <x:c r="E58" s="41" t="str">
        <x:v>一期（核心平台）</x:v>
      </x:c>
      <x:c r="F58" s="41" t="str">
        <x:v>P0</x:v>
      </x:c>
      <x:c r="G58" s="41" t="str">
        <x:v>必选</x:v>
      </x:c>
      <x:c r="H58" s="41" t="str">
        <x:v>标准产品</x:v>
      </x:c>
      <x:c r="I58" s="41" t="str">
        <x:v>追溯覆盖率 100%，旧结果失效后报告显示过期。</x:v>
      </x:c>
      <x:c r="J58" s="47" t="n">
        <x:v>20</x:v>
      </x:c>
      <x:c r="K58" s="48" t="n">
        <x:f>J58*'报价参数'!$B$5*'报价参数'!$B$6*(1+'报价参数'!$B$7)/10000</x:f>
        <x:v>6.241280000000001</x:v>
      </x:c>
      <x:c r="L58" s="53" t="str">
        <x:v>纳入</x:v>
      </x:c>
      <x:c r="M58" s="53"/>
    </x:row>
    <x:row r="59" ht="44" customHeight="1">
      <x:c r="A59" s="38" t="str">
        <x:v>MRP-REP-03</x:v>
      </x:c>
      <x:c r="B59" s="38" t="str">
        <x:v>报告与论文</x:v>
      </x:c>
      <x:c r="C59" s="41" t="str">
        <x:v>结论边界与质量检查</x:v>
      </x:c>
      <x:c r="D59" s="41" t="str">
        <x:v>识别因果夸大、无分母推发生率、只看 P 值、遗漏局限等问题。</x:v>
      </x:c>
      <x:c r="E59" s="41" t="str">
        <x:v>一期（核心平台）</x:v>
      </x:c>
      <x:c r="F59" s="41" t="str">
        <x:v>P0</x:v>
      </x:c>
      <x:c r="G59" s="41" t="str">
        <x:v>必选</x:v>
      </x:c>
      <x:c r="H59" s="41" t="str">
        <x:v>规则+AI</x:v>
      </x:c>
      <x:c r="I59" s="41" t="str">
        <x:v>证据不足时明确阻断，不补写结论。</x:v>
      </x:c>
      <x:c r="J59" s="47" t="n">
        <x:v>18</x:v>
      </x:c>
      <x:c r="K59" s="48" t="n">
        <x:f>J59*'报价参数'!$B$5*'报价参数'!$B$6*(1+'报价参数'!$B$7)/10000</x:f>
        <x:v>5.617152000000001</x:v>
      </x:c>
      <x:c r="L59" s="53" t="str">
        <x:v>纳入</x:v>
      </x:c>
      <x:c r="M59" s="53"/>
    </x:row>
    <x:row r="60" ht="44" customHeight="1">
      <x:c r="A60" s="38" t="str">
        <x:v>MRP-MAN-01</x:v>
      </x:c>
      <x:c r="B60" s="38" t="str">
        <x:v>报告与论文</x:v>
      </x:c>
      <x:c r="C60" s="41" t="str">
        <x:v>IMRaD 论文写作工作台</x:v>
      </x:c>
      <x:c r="D60" s="41" t="str">
        <x:v>按引言、方法、结果、讨论组织已审核内容、表图和修改历史。</x:v>
      </x:c>
      <x:c r="E60" s="41" t="str">
        <x:v>一期（核心平台）</x:v>
      </x:c>
      <x:c r="F60" s="41" t="str">
        <x:v>P0</x:v>
      </x:c>
      <x:c r="G60" s="41" t="str">
        <x:v>建议</x:v>
      </x:c>
      <x:c r="H60" s="41" t="str">
        <x:v>标准产品</x:v>
      </x:c>
      <x:c r="I60" s="41" t="str">
        <x:v>论文草稿与报告版本绑定，统计值不可自由编辑。</x:v>
      </x:c>
      <x:c r="J60" s="47" t="n">
        <x:v>26</x:v>
      </x:c>
      <x:c r="K60" s="48" t="n">
        <x:f>J60*'报价参数'!$B$5*'报价参数'!$B$6*(1+'报价参数'!$B$7)/10000</x:f>
        <x:v>8.113664</x:v>
      </x:c>
      <x:c r="L60" s="53" t="str">
        <x:v>纳入</x:v>
      </x:c>
      <x:c r="M60" s="53"/>
    </x:row>
    <x:row r="61" ht="44" customHeight="1">
      <x:c r="A61" s="38" t="str">
        <x:v>MRP-MAN-02</x:v>
      </x:c>
      <x:c r="B61" s="38" t="str">
        <x:v>报告与论文</x:v>
      </x:c>
      <x:c r="C61" s="41" t="str">
        <x:v>本地模型写作辅助</x:v>
      </x:c>
      <x:c r="D61" s="41" t="str">
        <x:v>基于已审核协议和结果生成摘要、段落草稿、润色和一致性检查。</x:v>
      </x:c>
      <x:c r="E61" s="41" t="str">
        <x:v>一期（核心平台）</x:v>
      </x:c>
      <x:c r="F61" s="41" t="str">
        <x:v>P0</x:v>
      </x:c>
      <x:c r="G61" s="41" t="str">
        <x:v>建议</x:v>
      </x:c>
      <x:c r="H61" s="41" t="str">
        <x:v>AI 增强</x:v>
      </x:c>
      <x:c r="I61" s="41" t="str">
        <x:v>无模型时可降级；不得生成虚假数值和引用。</x:v>
      </x:c>
      <x:c r="J61" s="47" t="n">
        <x:v>24</x:v>
      </x:c>
      <x:c r="K61" s="48" t="n">
        <x:f>J61*'报价参数'!$B$5*'报价参数'!$B$6*(1+'报价参数'!$B$7)/10000</x:f>
        <x:v>7.489536</x:v>
      </x:c>
      <x:c r="L61" s="53" t="str">
        <x:v>纳入</x:v>
      </x:c>
      <x:c r="M61" s="53"/>
    </x:row>
    <x:row r="62" ht="44" customHeight="1">
      <x:c r="A62" s="39" t="str">
        <x:v>MRP-MAN-03</x:v>
      </x:c>
      <x:c r="B62" s="39" t="str">
        <x:v>报告与论文</x:v>
      </x:c>
      <x:c r="C62" s="42" t="str">
        <x:v>真实文献引用核验</x:v>
      </x:c>
      <x:c r="D62" s="42" t="str">
        <x:v>管理文献元数据、引用定位、待核验状态和重复引用。</x:v>
      </x:c>
      <x:c r="E62" s="42" t="str">
        <x:v>三期（增强扩展）</x:v>
      </x:c>
      <x:c r="F62" s="42" t="str">
        <x:v>P1</x:v>
      </x:c>
      <x:c r="G62" s="42" t="str">
        <x:v>选配</x:v>
      </x:c>
      <x:c r="H62" s="42" t="str">
        <x:v>知识专项</x:v>
      </x:c>
      <x:c r="I62" s="42" t="str">
        <x:v>未核验引用不得进入正式发布版本。</x:v>
      </x:c>
      <x:c r="J62" s="49" t="n">
        <x:v>20</x:v>
      </x:c>
      <x:c r="K62" s="50" t="n">
        <x:f>J62*'报价参数'!$B$5*'报价参数'!$B$6*(1+'报价参数'!$B$7)/10000</x:f>
        <x:v>6.241280000000001</x:v>
      </x:c>
      <x:c r="L62" s="53" t="str">
        <x:v>待议</x:v>
      </x:c>
      <x:c r="M62" s="53"/>
    </x:row>
    <x:row r="63" ht="44" customHeight="1">
      <x:c r="A63" s="39" t="str">
        <x:v>MRP-MAN-04</x:v>
      </x:c>
      <x:c r="B63" s="39" t="str">
        <x:v>报告与论文</x:v>
      </x:c>
      <x:c r="C63" s="42" t="str">
        <x:v>中英文双语成果</x:v>
      </x:c>
      <x:c r="D63" s="42" t="str">
        <x:v>提供报告与论文草稿双语版本和术语一致性检查。</x:v>
      </x:c>
      <x:c r="E63" s="42" t="str">
        <x:v>三期（增强扩展）</x:v>
      </x:c>
      <x:c r="F63" s="42" t="str">
        <x:v>P2</x:v>
      </x:c>
      <x:c r="G63" s="42" t="str">
        <x:v>选配</x:v>
      </x:c>
      <x:c r="H63" s="42" t="str">
        <x:v>AI 增强</x:v>
      </x:c>
      <x:c r="I63" s="42" t="str">
        <x:v>双语内容保留同一统计来源和版本。</x:v>
      </x:c>
      <x:c r="J63" s="49" t="n">
        <x:v>24</x:v>
      </x:c>
      <x:c r="K63" s="50" t="n">
        <x:f>J63*'报价参数'!$B$5*'报价参数'!$B$6*(1+'报价参数'!$B$7)/10000</x:f>
        <x:v>7.489536</x:v>
      </x:c>
      <x:c r="L63" s="53" t="str">
        <x:v>待议</x:v>
      </x:c>
      <x:c r="M63" s="53"/>
    </x:row>
    <x:row r="64" ht="44" customHeight="1">
      <x:c r="A64" s="38" t="str">
        <x:v>MRP-REV-01</x:v>
      </x:c>
      <x:c r="B64" s="38" t="str">
        <x:v>审核与协作</x:v>
      </x:c>
      <x:c r="C64" s="41" t="str">
        <x:v>四级审核工作流</x:v>
      </x:c>
      <x:c r="D64" s="41" t="str">
        <x:v>项目负责人、统计师、医学负责人、科研管理依次审核。</x:v>
      </x:c>
      <x:c r="E64" s="41" t="str">
        <x:v>一期（核心平台）</x:v>
      </x:c>
      <x:c r="F64" s="41" t="str">
        <x:v>P0</x:v>
      </x:c>
      <x:c r="G64" s="41" t="str">
        <x:v>必选</x:v>
      </x:c>
      <x:c r="H64" s="41" t="str">
        <x:v>标准产品</x:v>
      </x:c>
      <x:c r="I64" s="41" t="str">
        <x:v>跳级、越权和伪造审核被拒绝并审计。</x:v>
      </x:c>
      <x:c r="J64" s="47" t="n">
        <x:v>22</x:v>
      </x:c>
      <x:c r="K64" s="48" t="n">
        <x:f>J64*'报价参数'!$B$5*'报价参数'!$B$6*(1+'报价参数'!$B$7)/10000</x:f>
        <x:v>6.865408</x:v>
      </x:c>
      <x:c r="L64" s="53" t="str">
        <x:v>纳入</x:v>
      </x:c>
      <x:c r="M64" s="53"/>
    </x:row>
    <x:row r="65" ht="44" customHeight="1">
      <x:c r="A65" s="38" t="str">
        <x:v>MRP-REV-02</x:v>
      </x:c>
      <x:c r="B65" s="38" t="str">
        <x:v>审核与协作</x:v>
      </x:c>
      <x:c r="C65" s="41" t="str">
        <x:v>批注、分派与整改闭环</x:v>
      </x:c>
      <x:c r="D65" s="41" t="str">
        <x:v>支持段落/表图批注、负责人、期限、驳回、重提和差异查看。</x:v>
      </x:c>
      <x:c r="E65" s="41" t="str">
        <x:v>一期（核心平台）</x:v>
      </x:c>
      <x:c r="F65" s="41" t="str">
        <x:v>P0</x:v>
      </x:c>
      <x:c r="G65" s="41" t="str">
        <x:v>必选</x:v>
      </x:c>
      <x:c r="H65" s="41" t="str">
        <x:v>标准产品</x:v>
      </x:c>
      <x:c r="I65" s="41" t="str">
        <x:v>审核意见只追加；问题全部关闭后方可推进。</x:v>
      </x:c>
      <x:c r="J65" s="47" t="n">
        <x:v>18</x:v>
      </x:c>
      <x:c r="K65" s="48" t="n">
        <x:f>J65*'报价参数'!$B$5*'报价参数'!$B$6*(1+'报价参数'!$B$7)/10000</x:f>
        <x:v>5.617152000000001</x:v>
      </x:c>
      <x:c r="L65" s="53" t="str">
        <x:v>纳入</x:v>
      </x:c>
      <x:c r="M65" s="53"/>
    </x:row>
    <x:row r="66" ht="44" customHeight="1">
      <x:c r="A66" s="38" t="str">
        <x:v>MRP-REV-03</x:v>
      </x:c>
      <x:c r="B66" s="38" t="str">
        <x:v>审核与协作</x:v>
      </x:c>
      <x:c r="C66" s="41" t="str">
        <x:v>发布门禁与电子确认</x:v>
      </x:c>
      <x:c r="D66" s="41" t="str">
        <x:v>核验伦理、作者、数据声明、统计审核、医学审核和敏感信息。</x:v>
      </x:c>
      <x:c r="E66" s="41" t="str">
        <x:v>一期（核心平台）</x:v>
      </x:c>
      <x:c r="F66" s="41" t="str">
        <x:v>P0</x:v>
      </x:c>
      <x:c r="G66" s="41" t="str">
        <x:v>必选</x:v>
      </x:c>
      <x:c r="H66" s="41" t="str">
        <x:v>安全专项</x:v>
      </x:c>
      <x:c r="I66" s="41" t="str">
        <x:v>阻断项不可由超级管理员绕过。</x:v>
      </x:c>
      <x:c r="J66" s="47" t="n">
        <x:v>16</x:v>
      </x:c>
      <x:c r="K66" s="48" t="n">
        <x:f>J66*'报价参数'!$B$5*'报价参数'!$B$6*(1+'报价参数'!$B$7)/10000</x:f>
        <x:v>4.993024</x:v>
      </x:c>
      <x:c r="L66" s="53" t="str">
        <x:v>纳入</x:v>
      </x:c>
      <x:c r="M66" s="53"/>
    </x:row>
    <x:row r="67" ht="44" customHeight="1">
      <x:c r="A67" s="38" t="str">
        <x:v>MRP-EXP-01</x:v>
      </x:c>
      <x:c r="B67" s="38" t="str">
        <x:v>成果包与归档</x:v>
      </x:c>
      <x:c r="C67" s="41" t="str">
        <x:v>可复现 ZIP 成果包</x:v>
      </x:c>
      <x:c r="D67" s="41" t="str">
        <x:v>导出协议、数据、字典、质控、SAP、代码、环境、结果、图表、报告、审核和审计。</x:v>
      </x:c>
      <x:c r="E67" s="41" t="str">
        <x:v>一期（核心平台）</x:v>
      </x:c>
      <x:c r="F67" s="41" t="str">
        <x:v>P0</x:v>
      </x:c>
      <x:c r="G67" s="41" t="str">
        <x:v>必选</x:v>
      </x:c>
      <x:c r="H67" s="41" t="str">
        <x:v>导出专项</x:v>
      </x:c>
      <x:c r="I67" s="41" t="str">
        <x:v>ZIP 清单完整、可解压、可复现且无直接身份字段。</x:v>
      </x:c>
      <x:c r="J67" s="47" t="n">
        <x:v>26</x:v>
      </x:c>
      <x:c r="K67" s="48" t="n">
        <x:f>J67*'报价参数'!$B$5*'报价参数'!$B$6*(1+'报价参数'!$B$7)/10000</x:f>
        <x:v>8.113664</x:v>
      </x:c>
      <x:c r="L67" s="53" t="str">
        <x:v>纳入</x:v>
      </x:c>
      <x:c r="M67" s="53"/>
    </x:row>
    <x:row r="68" ht="44" customHeight="1">
      <x:c r="A68" s="38" t="str">
        <x:v>MRP-EXP-02</x:v>
      </x:c>
      <x:c r="B68" s="38" t="str">
        <x:v>成果包与归档</x:v>
      </x:c>
      <x:c r="C68" s="41" t="str">
        <x:v>清单、哈希与签名</x:v>
      </x:c>
      <x:c r="D68" s="41" t="str">
        <x:v>生成 manifest、文件字节数、SHA-256 和发布状态。</x:v>
      </x:c>
      <x:c r="E68" s="41" t="str">
        <x:v>一期（核心平台）</x:v>
      </x:c>
      <x:c r="F68" s="41" t="str">
        <x:v>P0</x:v>
      </x:c>
      <x:c r="G68" s="41" t="str">
        <x:v>必选</x:v>
      </x:c>
      <x:c r="H68" s="41" t="str">
        <x:v>标准产品</x:v>
      </x:c>
      <x:c r="I68" s="41" t="str">
        <x:v>制品哈希可独立复核，失败导出不可标记为发布。</x:v>
      </x:c>
      <x:c r="J68" s="47" t="n">
        <x:v>14</x:v>
      </x:c>
      <x:c r="K68" s="48" t="n">
        <x:f>J68*'报价参数'!$B$5*'报价参数'!$B$6*(1+'报价参数'!$B$7)/10000</x:f>
        <x:v>4.368896</x:v>
      </x:c>
      <x:c r="L68" s="53" t="str">
        <x:v>纳入</x:v>
      </x:c>
      <x:c r="M68" s="53"/>
    </x:row>
    <x:row r="69" ht="44" customHeight="1">
      <x:c r="A69" s="40" t="str">
        <x:v>MRP-EXP-03</x:v>
      </x:c>
      <x:c r="B69" s="40" t="str">
        <x:v>成果包与归档</x:v>
      </x:c>
      <x:c r="C69" s="43" t="str">
        <x:v>版本归档与回读</x:v>
      </x:c>
      <x:c r="D69" s="43" t="str">
        <x:v>长期归档冻结数据、分析、报告、审核和导出包，支持版本回读。</x:v>
      </x:c>
      <x:c r="E69" s="43" t="str">
        <x:v>二期（医院试点）</x:v>
      </x:c>
      <x:c r="F69" s="43" t="str">
        <x:v>P0</x:v>
      </x:c>
      <x:c r="G69" s="43" t="str">
        <x:v>建议</x:v>
      </x:c>
      <x:c r="H69" s="43" t="str">
        <x:v>医院配置</x:v>
      </x:c>
      <x:c r="I69" s="43" t="str">
        <x:v>归档策略符合医院制度，回读后版本关系完整。</x:v>
      </x:c>
      <x:c r="J69" s="51" t="n">
        <x:v>16</x:v>
      </x:c>
      <x:c r="K69" s="52" t="n">
        <x:f>J69*'报价参数'!$B$5*'报价参数'!$B$6*(1+'报价参数'!$B$7)/10000</x:f>
        <x:v>4.993024</x:v>
      </x:c>
      <x:c r="L69" s="53" t="str">
        <x:v>纳入</x:v>
      </x:c>
      <x:c r="M69" s="53"/>
    </x:row>
    <x:row r="70" ht="44" customHeight="1">
      <x:c r="A70" s="38" t="str">
        <x:v>MRP-EXP-04</x:v>
      </x:c>
      <x:c r="B70" s="38" t="str">
        <x:v>成果包与归档</x:v>
      </x:c>
      <x:c r="C70" s="41" t="str">
        <x:v>下载授权与水印</x:v>
      </x:c>
      <x:c r="D70" s="41" t="str">
        <x:v>区分工作包与发布包，执行下载审批、水印、到期和审计。</x:v>
      </x:c>
      <x:c r="E70" s="41" t="str">
        <x:v>一期（核心平台）</x:v>
      </x:c>
      <x:c r="F70" s="41" t="str">
        <x:v>P0</x:v>
      </x:c>
      <x:c r="G70" s="41" t="str">
        <x:v>必选</x:v>
      </x:c>
      <x:c r="H70" s="41" t="str">
        <x:v>安全专项</x:v>
      </x:c>
      <x:c r="I70" s="41" t="str">
        <x:v>未终审只能导出带水印工作包。</x:v>
      </x:c>
      <x:c r="J70" s="47" t="n">
        <x:v>14</x:v>
      </x:c>
      <x:c r="K70" s="48" t="n">
        <x:f>J70*'报价参数'!$B$5*'报价参数'!$B$6*(1+'报价参数'!$B$7)/10000</x:f>
        <x:v>4.368896</x:v>
      </x:c>
      <x:c r="L70" s="53" t="str">
        <x:v>纳入</x:v>
      </x:c>
      <x:c r="M70" s="53"/>
    </x:row>
    <x:row r="71" ht="44" customHeight="1">
      <x:c r="A71" s="40" t="str">
        <x:v>MRP-KNOW-01</x:v>
      </x:c>
      <x:c r="B71" s="40" t="str">
        <x:v>知识与模板中心</x:v>
      </x:c>
      <x:c r="C71" s="43" t="str">
        <x:v>研究模板与方法中心</x:v>
      </x:c>
      <x:c r="D71" s="43" t="str">
        <x:v>管理研究协议、变量、SAP、图表和报告模板的发布、替换、撤回。</x:v>
      </x:c>
      <x:c r="E71" s="43" t="str">
        <x:v>二期（医院试点）</x:v>
      </x:c>
      <x:c r="F71" s="43" t="str">
        <x:v>P1</x:v>
      </x:c>
      <x:c r="G71" s="43" t="str">
        <x:v>建议</x:v>
      </x:c>
      <x:c r="H71" s="43" t="str">
        <x:v>标准产品</x:v>
      </x:c>
      <x:c r="I71" s="43" t="str">
        <x:v>模板有版本、来源、审核状态和适用范围。</x:v>
      </x:c>
      <x:c r="J71" s="51" t="n">
        <x:v>20</x:v>
      </x:c>
      <x:c r="K71" s="52" t="n">
        <x:f>J71*'报价参数'!$B$5*'报价参数'!$B$6*(1+'报价参数'!$B$7)/10000</x:f>
        <x:v>6.241280000000001</x:v>
      </x:c>
      <x:c r="L71" s="53" t="str">
        <x:v>纳入</x:v>
      </x:c>
      <x:c r="M71" s="53"/>
    </x:row>
    <x:row r="72" ht="44" customHeight="1">
      <x:c r="A72" s="40" t="str">
        <x:v>MRP-KNOW-02</x:v>
      </x:c>
      <x:c r="B72" s="40" t="str">
        <x:v>知识与模板中心</x:v>
      </x:c>
      <x:c r="C72" s="43" t="str">
        <x:v>文献与院内规范知识库</x:v>
      </x:c>
      <x:c r="D72" s="43" t="str">
        <x:v>存储真实文献元数据、医院方法学规范和可定位证据。</x:v>
      </x:c>
      <x:c r="E72" s="43" t="str">
        <x:v>二期（医院试点）</x:v>
      </x:c>
      <x:c r="F72" s="43" t="str">
        <x:v>P1</x:v>
      </x:c>
      <x:c r="G72" s="43" t="str">
        <x:v>建议</x:v>
      </x:c>
      <x:c r="H72" s="43" t="str">
        <x:v>知识专项</x:v>
      </x:c>
      <x:c r="I72" s="43" t="str">
        <x:v>未审核资料不得进入正式报告生成。</x:v>
      </x:c>
      <x:c r="J72" s="51" t="n">
        <x:v>22</x:v>
      </x:c>
      <x:c r="K72" s="52" t="n">
        <x:f>J72*'报价参数'!$B$5*'报价参数'!$B$6*(1+'报价参数'!$B$7)/10000</x:f>
        <x:v>6.865408</x:v>
      </x:c>
      <x:c r="L72" s="53" t="str">
        <x:v>纳入</x:v>
      </x:c>
      <x:c r="M72" s="53"/>
    </x:row>
    <x:row r="73" ht="44" customHeight="1">
      <x:c r="A73" s="39" t="str">
        <x:v>MRP-KNOW-03</x:v>
      </x:c>
      <x:c r="B73" s="39" t="str">
        <x:v>知识与模板中心</x:v>
      </x:c>
      <x:c r="C73" s="42" t="str">
        <x:v>模板运营与复用分析</x:v>
      </x:c>
      <x:c r="D73" s="42" t="str">
        <x:v>统计模板使用、成功率、退回原因和维护待办。</x:v>
      </x:c>
      <x:c r="E73" s="42" t="str">
        <x:v>三期（增强扩展）</x:v>
      </x:c>
      <x:c r="F73" s="42" t="str">
        <x:v>P2</x:v>
      </x:c>
      <x:c r="G73" s="42" t="str">
        <x:v>选配</x:v>
      </x:c>
      <x:c r="H73" s="42" t="str">
        <x:v>标准产品</x:v>
      </x:c>
      <x:c r="I73" s="42" t="str">
        <x:v>只展示治理指标，不将采纳自动升级为科研方法规则。</x:v>
      </x:c>
      <x:c r="J73" s="49" t="n">
        <x:v>14</x:v>
      </x:c>
      <x:c r="K73" s="50" t="n">
        <x:f>J73*'报价参数'!$B$5*'报价参数'!$B$6*(1+'报价参数'!$B$7)/10000</x:f>
        <x:v>4.368896</x:v>
      </x:c>
      <x:c r="L73" s="53" t="str">
        <x:v>待议</x:v>
      </x:c>
      <x:c r="M73" s="53"/>
    </x:row>
    <x:row r="74" ht="44" customHeight="1">
      <x:c r="A74" s="38" t="str">
        <x:v>MRP-AI-01</x:v>
      </x:c>
      <x:c r="B74" s="38" t="str">
        <x:v>医学 AI 智能体</x:v>
      </x:c>
      <x:c r="C74" s="41" t="str">
        <x:v>统一模型网关</x:v>
      </x:c>
      <x:c r="D74" s="41" t="str">
        <x:v>统一接入医院本地 DeepSeek R1，管理模型、参数、超时、审计和降级。</x:v>
      </x:c>
      <x:c r="E74" s="41" t="str">
        <x:v>一期（核心平台）</x:v>
      </x:c>
      <x:c r="F74" s="41" t="str">
        <x:v>P0</x:v>
      </x:c>
      <x:c r="G74" s="41" t="str">
        <x:v>必选</x:v>
      </x:c>
      <x:c r="H74" s="41" t="str">
        <x:v>AI 基础设施</x:v>
      </x:c>
      <x:c r="I74" s="41" t="str">
        <x:v>无密钥写入前端；模型不可直接访问数据库或发布状态。</x:v>
      </x:c>
      <x:c r="J74" s="47" t="n">
        <x:v>24</x:v>
      </x:c>
      <x:c r="K74" s="48" t="n">
        <x:f>J74*'报价参数'!$B$5*'报价参数'!$B$6*(1+'报价参数'!$B$7)/10000</x:f>
        <x:v>7.489536</x:v>
      </x:c>
      <x:c r="L74" s="53" t="str">
        <x:v>纳入</x:v>
      </x:c>
      <x:c r="M74" s="53"/>
    </x:row>
    <x:row r="75" ht="44" customHeight="1">
      <x:c r="A75" s="38" t="str">
        <x:v>MRP-AI-02</x:v>
      </x:c>
      <x:c r="B75" s="38" t="str">
        <x:v>医学 AI 智能体</x:v>
      </x:c>
      <x:c r="C75" s="41" t="str">
        <x:v>结构化智能体编排</x:v>
      </x:c>
      <x:c r="D75" s="41" t="str">
        <x:v>将选题、变量建议、方法解释、报告草稿拆为受控 Schema 步骤。</x:v>
      </x:c>
      <x:c r="E75" s="41" t="str">
        <x:v>一期（核心平台）</x:v>
      </x:c>
      <x:c r="F75" s="41" t="str">
        <x:v>P0</x:v>
      </x:c>
      <x:c r="G75" s="41" t="str">
        <x:v>建议</x:v>
      </x:c>
      <x:c r="H75" s="41" t="str">
        <x:v>AI 基础设施</x:v>
      </x:c>
      <x:c r="I75" s="41" t="str">
        <x:v>每步输入输出可验证、可回放、可拒绝。</x:v>
      </x:c>
      <x:c r="J75" s="47" t="n">
        <x:v>28</x:v>
      </x:c>
      <x:c r="K75" s="48" t="n">
        <x:f>J75*'报价参数'!$B$5*'报价参数'!$B$6*(1+'报价参数'!$B$7)/10000</x:f>
        <x:v>8.737792</x:v>
      </x:c>
      <x:c r="L75" s="53" t="str">
        <x:v>纳入</x:v>
      </x:c>
      <x:c r="M75" s="53"/>
    </x:row>
    <x:row r="76" ht="44" customHeight="1">
      <x:c r="A76" s="40" t="str">
        <x:v>MRP-AI-03</x:v>
      </x:c>
      <x:c r="B76" s="40" t="str">
        <x:v>医学 AI 智能体</x:v>
      </x:c>
      <x:c r="C76" s="43" t="str">
        <x:v>受控检索与证据定位</x:v>
      </x:c>
      <x:c r="D76" s="43" t="str">
        <x:v>仅检索已发布知识和项目获授权材料，返回来源与定位。</x:v>
      </x:c>
      <x:c r="E76" s="43" t="str">
        <x:v>二期（医院试点）</x:v>
      </x:c>
      <x:c r="F76" s="43" t="str">
        <x:v>P1</x:v>
      </x:c>
      <x:c r="G76" s="43" t="str">
        <x:v>建议</x:v>
      </x:c>
      <x:c r="H76" s="43" t="str">
        <x:v>AI+知识专项</x:v>
      </x:c>
      <x:c r="I76" s="43" t="str">
        <x:v>证据不足或冲突必须显式提示。</x:v>
      </x:c>
      <x:c r="J76" s="51" t="n">
        <x:v>24</x:v>
      </x:c>
      <x:c r="K76" s="52" t="n">
        <x:f>J76*'报价参数'!$B$5*'报价参数'!$B$6*(1+'报价参数'!$B$7)/10000</x:f>
        <x:v>7.489536</x:v>
      </x:c>
      <x:c r="L76" s="53" t="str">
        <x:v>纳入</x:v>
      </x:c>
      <x:c r="M76" s="53"/>
    </x:row>
    <x:row r="77" ht="44" customHeight="1">
      <x:c r="A77" s="40" t="str">
        <x:v>MRP-AI-04</x:v>
      </x:c>
      <x:c r="B77" s="40" t="str">
        <x:v>医学 AI 智能体</x:v>
      </x:c>
      <x:c r="C77" s="43" t="str">
        <x:v>模型质量评测集</x:v>
      </x:c>
      <x:c r="D77" s="43" t="str">
        <x:v>建立研究设计、方法、解释、引用、隐私和越界案例回归评测。</x:v>
      </x:c>
      <x:c r="E77" s="43" t="str">
        <x:v>二期（医院试点）</x:v>
      </x:c>
      <x:c r="F77" s="43" t="str">
        <x:v>P0</x:v>
      </x:c>
      <x:c r="G77" s="43" t="str">
        <x:v>必选</x:v>
      </x:c>
      <x:c r="H77" s="43" t="str">
        <x:v>AI 安全专项</x:v>
      </x:c>
      <x:c r="I77" s="43" t="str">
        <x:v>不少于 100 个基准案例，模型升级前强制回归。</x:v>
      </x:c>
      <x:c r="J77" s="51" t="n">
        <x:v>24</x:v>
      </x:c>
      <x:c r="K77" s="52" t="n">
        <x:f>J77*'报价参数'!$B$5*'报价参数'!$B$6*(1+'报价参数'!$B$7)/10000</x:f>
        <x:v>7.489536</x:v>
      </x:c>
      <x:c r="L77" s="53" t="str">
        <x:v>纳入</x:v>
      </x:c>
      <x:c r="M77" s="53"/>
    </x:row>
    <x:row r="78" ht="44" customHeight="1">
      <x:c r="A78" s="40" t="str">
        <x:v>MRP-AI-05</x:v>
      </x:c>
      <x:c r="B78" s="40" t="str">
        <x:v>医学 AI 智能体</x:v>
      </x:c>
      <x:c r="C78" s="43" t="str">
        <x:v>提示注入与越权防护</x:v>
      </x:c>
      <x:c r="D78" s="43" t="str">
        <x:v>隔离不可信文档指令，限制工具、数据域和输出动作。</x:v>
      </x:c>
      <x:c r="E78" s="43" t="str">
        <x:v>二期（医院试点）</x:v>
      </x:c>
      <x:c r="F78" s="43" t="str">
        <x:v>P0</x:v>
      </x:c>
      <x:c r="G78" s="43" t="str">
        <x:v>必选</x:v>
      </x:c>
      <x:c r="H78" s="43" t="str">
        <x:v>AI 安全专项</x:v>
      </x:c>
      <x:c r="I78" s="43" t="str">
        <x:v>对抗测试中无未授权数据读取和发布动作。</x:v>
      </x:c>
      <x:c r="J78" s="51" t="n">
        <x:v>18</x:v>
      </x:c>
      <x:c r="K78" s="52" t="n">
        <x:f>J78*'报价参数'!$B$5*'报价参数'!$B$6*(1+'报价参数'!$B$7)/10000</x:f>
        <x:v>5.617152000000001</x:v>
      </x:c>
      <x:c r="L78" s="53" t="str">
        <x:v>纳入</x:v>
      </x:c>
      <x:c r="M78" s="53"/>
    </x:row>
    <x:row r="79" ht="44" customHeight="1">
      <x:c r="A79" s="38" t="str">
        <x:v>MRP-SYS-01</x:v>
      </x:c>
      <x:c r="B79" s="38" t="str">
        <x:v>平台基础与安全</x:v>
      </x:c>
      <x:c r="C79" s="41" t="str">
        <x:v>统一身份与医院 SSO 适配</x:v>
      </x:c>
      <x:c r="D79" s="41" t="str">
        <x:v>支持模拟身份开发模式及医院 OIDC/SSO 适配。</x:v>
      </x:c>
      <x:c r="E79" s="41" t="str">
        <x:v>一期（核心平台）</x:v>
      </x:c>
      <x:c r="F79" s="41" t="str">
        <x:v>P0</x:v>
      </x:c>
      <x:c r="G79" s="41" t="str">
        <x:v>必选</x:v>
      </x:c>
      <x:c r="H79" s="41" t="str">
        <x:v>基础平台</x:v>
      </x:c>
      <x:c r="I79" s="41" t="str">
        <x:v>正式环境身份来自医院认证，前端角色切换不构成授权。</x:v>
      </x:c>
      <x:c r="J79" s="47" t="n">
        <x:v>22</x:v>
      </x:c>
      <x:c r="K79" s="48" t="n">
        <x:f>J79*'报价参数'!$B$5*'报价参数'!$B$6*(1+'报价参数'!$B$7)/10000</x:f>
        <x:v>6.865408</x:v>
      </x:c>
      <x:c r="L79" s="53" t="str">
        <x:v>纳入</x:v>
      </x:c>
      <x:c r="M79" s="53"/>
    </x:row>
    <x:row r="80" ht="44" customHeight="1">
      <x:c r="A80" s="38" t="str">
        <x:v>MRP-SYS-02</x:v>
      </x:c>
      <x:c r="B80" s="38" t="str">
        <x:v>平台基础与安全</x:v>
      </x:c>
      <x:c r="C80" s="41" t="str">
        <x:v>RBAC+ABAC 权限</x:v>
      </x:c>
      <x:c r="D80" s="41" t="str">
        <x:v>按用户、角色、科室、项目、数据域、目的、伦理状态和期限授权。</x:v>
      </x:c>
      <x:c r="E80" s="41" t="str">
        <x:v>一期（核心平台）</x:v>
      </x:c>
      <x:c r="F80" s="41" t="str">
        <x:v>P0</x:v>
      </x:c>
      <x:c r="G80" s="41" t="str">
        <x:v>必选</x:v>
      </x:c>
      <x:c r="H80" s="41" t="str">
        <x:v>安全专项</x:v>
      </x:c>
      <x:c r="I80" s="41" t="str">
        <x:v>覆盖页面、接口、数据行列、任务和制品下载。</x:v>
      </x:c>
      <x:c r="J80" s="47" t="n">
        <x:v>28</x:v>
      </x:c>
      <x:c r="K80" s="48" t="n">
        <x:f>J80*'报价参数'!$B$5*'报价参数'!$B$6*(1+'报价参数'!$B$7)/10000</x:f>
        <x:v>8.737792</x:v>
      </x:c>
      <x:c r="L80" s="53" t="str">
        <x:v>纳入</x:v>
      </x:c>
      <x:c r="M80" s="53"/>
    </x:row>
    <x:row r="81" ht="44" customHeight="1">
      <x:c r="A81" s="38" t="str">
        <x:v>MRP-SYS-03</x:v>
      </x:c>
      <x:c r="B81" s="38" t="str">
        <x:v>平台基础与安全</x:v>
      </x:c>
      <x:c r="C81" s="41" t="str">
        <x:v>追加式审计中心</x:v>
      </x:c>
      <x:c r="D81" s="41" t="str">
        <x:v>记录登录、查看、修改、运行、审核、导出和管理配置。</x:v>
      </x:c>
      <x:c r="E81" s="41" t="str">
        <x:v>一期（核心平台）</x:v>
      </x:c>
      <x:c r="F81" s="41" t="str">
        <x:v>P0</x:v>
      </x:c>
      <x:c r="G81" s="41" t="str">
        <x:v>必选</x:v>
      </x:c>
      <x:c r="H81" s="41" t="str">
        <x:v>基础平台</x:v>
      </x:c>
      <x:c r="I81" s="41" t="str">
        <x:v>审计不可物理删除，支持关联 ID 和合规查询。</x:v>
      </x:c>
      <x:c r="J81" s="47" t="n">
        <x:v>22</x:v>
      </x:c>
      <x:c r="K81" s="48" t="n">
        <x:f>J81*'报价参数'!$B$5*'报价参数'!$B$6*(1+'报价参数'!$B$7)/10000</x:f>
        <x:v>6.865408</x:v>
      </x:c>
      <x:c r="L81" s="53" t="str">
        <x:v>纳入</x:v>
      </x:c>
      <x:c r="M81" s="53"/>
    </x:row>
    <x:row r="82" ht="44" customHeight="1">
      <x:c r="A82" s="38" t="str">
        <x:v>MRP-SYS-04</x:v>
      </x:c>
      <x:c r="B82" s="38" t="str">
        <x:v>平台基础与安全</x:v>
      </x:c>
      <x:c r="C82" s="41" t="str">
        <x:v>可靠任务与 Worker 管理</x:v>
      </x:c>
      <x:c r="D82" s="41" t="str">
        <x:v>基于 PostgreSQL 可靠任务表执行提取、分析、图表、报告和导出。</x:v>
      </x:c>
      <x:c r="E82" s="41" t="str">
        <x:v>一期（核心平台）</x:v>
      </x:c>
      <x:c r="F82" s="41" t="str">
        <x:v>P0</x:v>
      </x:c>
      <x:c r="G82" s="41" t="str">
        <x:v>必选</x:v>
      </x:c>
      <x:c r="H82" s="41" t="str">
        <x:v>基础平台</x:v>
      </x:c>
      <x:c r="I82" s="41" t="str">
        <x:v>任务租约、重试、死信、取消和幂等完整。</x:v>
      </x:c>
      <x:c r="J82" s="47" t="n">
        <x:v>24</x:v>
      </x:c>
      <x:c r="K82" s="48" t="n">
        <x:f>J82*'报价参数'!$B$5*'报价参数'!$B$6*(1+'报价参数'!$B$7)/10000</x:f>
        <x:v>7.489536</x:v>
      </x:c>
      <x:c r="L82" s="53" t="str">
        <x:v>纳入</x:v>
      </x:c>
      <x:c r="M82" s="53"/>
    </x:row>
    <x:row r="83" ht="44" customHeight="1">
      <x:c r="A83" s="38" t="str">
        <x:v>MRP-SYS-05</x:v>
      </x:c>
      <x:c r="B83" s="38" t="str">
        <x:v>平台基础与安全</x:v>
      </x:c>
      <x:c r="C83" s="41" t="str">
        <x:v>BlobStorage 制品存储</x:v>
      </x:c>
      <x:c r="D83" s="41" t="str">
        <x:v>开发环境本地目录，医院可替换 NAS/对象存储。</x:v>
      </x:c>
      <x:c r="E83" s="41" t="str">
        <x:v>一期（核心平台）</x:v>
      </x:c>
      <x:c r="F83" s="41" t="str">
        <x:v>P0</x:v>
      </x:c>
      <x:c r="G83" s="41" t="str">
        <x:v>必选</x:v>
      </x:c>
      <x:c r="H83" s="41" t="str">
        <x:v>基础平台</x:v>
      </x:c>
      <x:c r="I83" s="41" t="str">
        <x:v>文件元数据、权限、哈希和生命周期可管理。</x:v>
      </x:c>
      <x:c r="J83" s="47" t="n">
        <x:v>16</x:v>
      </x:c>
      <x:c r="K83" s="48" t="n">
        <x:f>J83*'报价参数'!$B$5*'报价参数'!$B$6*(1+'报价参数'!$B$7)/10000</x:f>
        <x:v>4.993024</x:v>
      </x:c>
      <x:c r="L83" s="53" t="str">
        <x:v>纳入</x:v>
      </x:c>
      <x:c r="M83" s="53"/>
    </x:row>
    <x:row r="84" ht="44" customHeight="1">
      <x:c r="A84" s="40" t="str">
        <x:v>MRP-SYS-06</x:v>
      </x:c>
      <x:c r="B84" s="40" t="str">
        <x:v>平台基础与安全</x:v>
      </x:c>
      <x:c r="C84" s="43" t="str">
        <x:v>日志、监控与告警</x:v>
      </x:c>
      <x:c r="D84" s="43" t="str">
        <x:v>服务健康、队列积压、失败率、容量、授权到期和资源监控。</x:v>
      </x:c>
      <x:c r="E84" s="43" t="str">
        <x:v>二期（医院试点）</x:v>
      </x:c>
      <x:c r="F84" s="43" t="str">
        <x:v>P0</x:v>
      </x:c>
      <x:c r="G84" s="43" t="str">
        <x:v>必选</x:v>
      </x:c>
      <x:c r="H84" s="43" t="str">
        <x:v>运维实施</x:v>
      </x:c>
      <x:c r="I84" s="43" t="str">
        <x:v>敏感信息不进入日志，关键告警可验证。</x:v>
      </x:c>
      <x:c r="J84" s="51" t="n">
        <x:v>20</x:v>
      </x:c>
      <x:c r="K84" s="52" t="n">
        <x:f>J84*'报价参数'!$B$5*'报价参数'!$B$6*(1+'报价参数'!$B$7)/10000</x:f>
        <x:v>6.241280000000001</x:v>
      </x:c>
      <x:c r="L84" s="53" t="str">
        <x:v>纳入</x:v>
      </x:c>
      <x:c r="M84" s="53"/>
    </x:row>
    <x:row r="85" ht="44" customHeight="1">
      <x:c r="A85" s="40" t="str">
        <x:v>MRP-SYS-07</x:v>
      </x:c>
      <x:c r="B85" s="40" t="str">
        <x:v>平台基础与安全</x:v>
      </x:c>
      <x:c r="C85" s="43" t="str">
        <x:v>备份恢复与容灾演练</x:v>
      </x:c>
      <x:c r="D85" s="43" t="str">
        <x:v>数据库、制品、审计和配置备份，提供恢复脚本与演练。</x:v>
      </x:c>
      <x:c r="E85" s="43" t="str">
        <x:v>二期（医院试点）</x:v>
      </x:c>
      <x:c r="F85" s="43" t="str">
        <x:v>P0</x:v>
      </x:c>
      <x:c r="G85" s="43" t="str">
        <x:v>必选</x:v>
      </x:c>
      <x:c r="H85" s="43" t="str">
        <x:v>运维实施</x:v>
      </x:c>
      <x:c r="I85" s="43" t="str">
        <x:v>达到试点 RPO/RTO 并形成恢复报告。</x:v>
      </x:c>
      <x:c r="J85" s="51" t="n">
        <x:v>18</x:v>
      </x:c>
      <x:c r="K85" s="52" t="n">
        <x:f>J85*'报价参数'!$B$5*'报价参数'!$B$6*(1+'报价参数'!$B$7)/10000</x:f>
        <x:v>5.617152000000001</x:v>
      </x:c>
      <x:c r="L85" s="53" t="str">
        <x:v>纳入</x:v>
      </x:c>
      <x:c r="M85" s="53"/>
    </x:row>
    <x:row r="86" ht="44" customHeight="1">
      <x:c r="A86" s="38" t="str">
        <x:v>MRP-SYS-08</x:v>
      </x:c>
      <x:c r="B86" s="38" t="str">
        <x:v>平台基础与安全</x:v>
      </x:c>
      <x:c r="C86" s="41" t="str">
        <x:v>配置、字典与代码集</x:v>
      </x:c>
      <x:c r="D86" s="41" t="str">
        <x:v>统一管理业务参数、医院字典、代码映射和版本。</x:v>
      </x:c>
      <x:c r="E86" s="41" t="str">
        <x:v>一期（核心平台）</x:v>
      </x:c>
      <x:c r="F86" s="41" t="str">
        <x:v>P0</x:v>
      </x:c>
      <x:c r="G86" s="41" t="str">
        <x:v>必选</x:v>
      </x:c>
      <x:c r="H86" s="41" t="str">
        <x:v>基础平台</x:v>
      </x:c>
      <x:c r="I86" s="41" t="str">
        <x:v>配置变更留痕，高风险配置可双人复核。</x:v>
      </x:c>
      <x:c r="J86" s="47" t="n">
        <x:v>18</x:v>
      </x:c>
      <x:c r="K86" s="48" t="n">
        <x:f>J86*'报价参数'!$B$5*'报价参数'!$B$6*(1+'报价参数'!$B$7)/10000</x:f>
        <x:v>5.617152000000001</x:v>
      </x:c>
      <x:c r="L86" s="53" t="str">
        <x:v>纳入</x:v>
      </x:c>
      <x:c r="M86" s="53"/>
    </x:row>
    <x:row r="87" ht="44" customHeight="1">
      <x:c r="A87" s="38" t="str">
        <x:v>MRP-SYS-09</x:v>
      </x:c>
      <x:c r="B87" s="38" t="str">
        <x:v>平台基础与安全</x:v>
      </x:c>
      <x:c r="C87" s="41" t="str">
        <x:v>OpenAPI 与页面接口文档</x:v>
      </x:c>
      <x:c r="D87" s="41" t="str">
        <x:v>每个页面提供角色、字段、状态、错误、幂等、审计和联调示例。</x:v>
      </x:c>
      <x:c r="E87" s="41" t="str">
        <x:v>一期（核心平台）</x:v>
      </x:c>
      <x:c r="F87" s="41" t="str">
        <x:v>P0</x:v>
      </x:c>
      <x:c r="G87" s="41" t="str">
        <x:v>必选</x:v>
      </x:c>
      <x:c r="H87" s="41" t="str">
        <x:v>开发交付</x:v>
      </x:c>
      <x:c r="I87" s="41" t="str">
        <x:v>页面文档与 OpenAPI 契约测试一致。</x:v>
      </x:c>
      <x:c r="J87" s="47" t="n">
        <x:v>22</x:v>
      </x:c>
      <x:c r="K87" s="48" t="n">
        <x:f>J87*'报价参数'!$B$5*'报价参数'!$B$6*(1+'报价参数'!$B$7)/10000</x:f>
        <x:v>6.865408</x:v>
      </x:c>
      <x:c r="L87" s="53" t="str">
        <x:v>纳入</x:v>
      </x:c>
      <x:c r="M87" s="53"/>
    </x:row>
    <x:row r="88" ht="44" customHeight="1">
      <x:c r="A88" s="38" t="str">
        <x:v>MRP-SYS-10</x:v>
      </x:c>
      <x:c r="B88" s="38" t="str">
        <x:v>平台基础与安全</x:v>
      </x:c>
      <x:c r="C88" s="41" t="str">
        <x:v>自动化测试与交付验收</x:v>
      </x:c>
      <x:c r="D88" s="41" t="str">
        <x:v>Java、Python、Vue、契约、Playwright、安全、性能、一致性和恢复测试。</x:v>
      </x:c>
      <x:c r="E88" s="41" t="str">
        <x:v>一期（核心平台）</x:v>
      </x:c>
      <x:c r="F88" s="41" t="str">
        <x:v>P0</x:v>
      </x:c>
      <x:c r="G88" s="41" t="str">
        <x:v>必选</x:v>
      </x:c>
      <x:c r="H88" s="41" t="str">
        <x:v>质量保障</x:v>
      </x:c>
      <x:c r="I88" s="41" t="str">
        <x:v>提供实际命令、通过/失败数、接口、数据库、制品和页面证据。</x:v>
      </x:c>
      <x:c r="J88" s="47" t="n">
        <x:v>36</x:v>
      </x:c>
      <x:c r="K88" s="48" t="n">
        <x:f>J88*'报价参数'!$B$5*'报价参数'!$B$6*(1+'报价参数'!$B$7)/10000</x:f>
        <x:v>11.234304000000002</x:v>
      </x:c>
      <x:c r="L88" s="53" t="str">
        <x:v>纳入</x:v>
      </x:c>
      <x:c r="M88" s="53"/>
    </x:row>
    <x:row r="89" ht="44" customHeight="1">
      <x:c r="A89" s="40" t="str">
        <x:v>MRP-SYS-11</x:v>
      </x:c>
      <x:c r="B89" s="40" t="str">
        <x:v>平台基础与安全</x:v>
      </x:c>
      <x:c r="C89" s="43" t="str">
        <x:v>内网容器部署与培训</x:v>
      </x:c>
      <x:c r="D89" s="43" t="str">
        <x:v>Linux x86_64 容器部署、环境配置、管理员/用户培训和试运行支持。</x:v>
      </x:c>
      <x:c r="E89" s="43" t="str">
        <x:v>二期（医院试点）</x:v>
      </x:c>
      <x:c r="F89" s="43" t="str">
        <x:v>P0</x:v>
      </x:c>
      <x:c r="G89" s="43" t="str">
        <x:v>必选</x:v>
      </x:c>
      <x:c r="H89" s="43" t="str">
        <x:v>实施服务</x:v>
      </x:c>
      <x:c r="I89" s="43" t="str">
        <x:v>医院环境可启动、监控、备份和升级；培训材料完整。</x:v>
      </x:c>
      <x:c r="J89" s="51" t="n">
        <x:v>26</x:v>
      </x:c>
      <x:c r="K89" s="52" t="n">
        <x:f>J89*'报价参数'!$B$5*'报价参数'!$B$6*(1+'报价参数'!$B$7)/10000</x:f>
        <x:v>8.113664</x:v>
      </x:c>
      <x:c r="L89" s="53" t="str">
        <x:v>纳入</x:v>
      </x:c>
      <x:c r="M89" s="53"/>
    </x:row>
    <x:row r="90" ht="44" customHeight="1">
      <x:c r="A90" s="39" t="str">
        <x:v>MRP-SYS-12</x:v>
      </x:c>
      <x:c r="B90" s="39" t="str">
        <x:v>平台基础与安全</x:v>
      </x:c>
      <x:c r="C90" s="42" t="str">
        <x:v>多院区/多机构运营</x:v>
      </x:c>
      <x:c r="D90" s="42" t="str">
        <x:v>支持机构隔离、机构级模板、配额、指标和统一运营。</x:v>
      </x:c>
      <x:c r="E90" s="42" t="str">
        <x:v>三期（增强扩展）</x:v>
      </x:c>
      <x:c r="F90" s="42" t="str">
        <x:v>P2</x:v>
      </x:c>
      <x:c r="G90" s="42" t="str">
        <x:v>选配</x:v>
      </x:c>
      <x:c r="H90" s="42" t="str">
        <x:v>平台扩展</x:v>
      </x:c>
      <x:c r="I90" s="42" t="str">
        <x:v>机构间数据默认隔离，授权共享有审计。</x:v>
      </x:c>
      <x:c r="J90" s="49" t="n">
        <x:v>28</x:v>
      </x:c>
      <x:c r="K90" s="50" t="n">
        <x:f>J90*'报价参数'!$B$5*'报价参数'!$B$6*(1+'报价参数'!$B$7)/10000</x:f>
        <x:v>8.737792</x:v>
      </x:c>
      <x:c r="L90" s="53" t="str">
        <x:v>待议</x:v>
      </x:c>
      <x:c r="M90" s="53"/>
    </x:row>
    <x:row r="91" ht="44" customHeight="1">
      <x:c r="A91" s="40" t="str">
        <x:v>MRP-INT-01</x:v>
      </x:c>
      <x:c r="B91" s="40" t="str">
        <x:v>医院数据接口</x:v>
      </x:c>
      <x:c r="C91" s="43" t="str">
        <x:v>HIS 科研数据适配</x:v>
      </x:c>
      <x:c r="D91" s="43" t="str">
        <x:v>对接人口学、就诊、诊断、医嘱、费用等获批只读数据。</x:v>
      </x:c>
      <x:c r="E91" s="43" t="str">
        <x:v>二期（医院试点）</x:v>
      </x:c>
      <x:c r="F91" s="43" t="str">
        <x:v>P0</x:v>
      </x:c>
      <x:c r="G91" s="43" t="str">
        <x:v>建议</x:v>
      </x:c>
      <x:c r="H91" s="43" t="str">
        <x:v>接口实施</x:v>
      </x:c>
      <x:c r="I91" s="43" t="str">
        <x:v>完成字段映射、增量/批量策略、失败补偿和对账。</x:v>
      </x:c>
      <x:c r="J91" s="51" t="n">
        <x:v>30</x:v>
      </x:c>
      <x:c r="K91" s="52" t="n">
        <x:f>J91*'报价参数'!$B$5*'报价参数'!$B$6*(1+'报价参数'!$B$7)/10000</x:f>
        <x:v>9.361920000000001</x:v>
      </x:c>
      <x:c r="L91" s="53" t="str">
        <x:v>纳入</x:v>
      </x:c>
      <x:c r="M91" s="53"/>
    </x:row>
    <x:row r="92" ht="44" customHeight="1">
      <x:c r="A92" s="40" t="str">
        <x:v>MRP-INT-02</x:v>
      </x:c>
      <x:c r="B92" s="40" t="str">
        <x:v>医院数据接口</x:v>
      </x:c>
      <x:c r="C92" s="43" t="str">
        <x:v>EMR 科研数据适配</x:v>
      </x:c>
      <x:c r="D92" s="43" t="str">
        <x:v>对接结构化病历字段及医院批准的文本抽取结果。</x:v>
      </x:c>
      <x:c r="E92" s="43" t="str">
        <x:v>二期（医院试点）</x:v>
      </x:c>
      <x:c r="F92" s="43" t="str">
        <x:v>P0</x:v>
      </x:c>
      <x:c r="G92" s="43" t="str">
        <x:v>建议</x:v>
      </x:c>
      <x:c r="H92" s="43" t="str">
        <x:v>接口实施</x:v>
      </x:c>
      <x:c r="I92" s="43" t="str">
        <x:v>明确文书版本、时间、来源和抽取质量边界。</x:v>
      </x:c>
      <x:c r="J92" s="51" t="n">
        <x:v>32</x:v>
      </x:c>
      <x:c r="K92" s="52" t="n">
        <x:f>J92*'报价参数'!$B$5*'报价参数'!$B$6*(1+'报价参数'!$B$7)/10000</x:f>
        <x:v>9.986048</x:v>
      </x:c>
      <x:c r="L92" s="53" t="str">
        <x:v>纳入</x:v>
      </x:c>
      <x:c r="M92" s="53"/>
    </x:row>
    <x:row r="93" ht="44" customHeight="1">
      <x:c r="A93" s="40" t="str">
        <x:v>MRP-INT-03</x:v>
      </x:c>
      <x:c r="B93" s="40" t="str">
        <x:v>医院数据接口</x:v>
      </x:c>
      <x:c r="C93" s="43" t="str">
        <x:v>LIS 科研数据适配</x:v>
      </x:c>
      <x:c r="D93" s="43" t="str">
        <x:v>对接检验项目、结果、单位、参考范围、标本和时间。</x:v>
      </x:c>
      <x:c r="E93" s="43" t="str">
        <x:v>二期（医院试点）</x:v>
      </x:c>
      <x:c r="F93" s="43" t="str">
        <x:v>P0</x:v>
      </x:c>
      <x:c r="G93" s="43" t="str">
        <x:v>建议</x:v>
      </x:c>
      <x:c r="H93" s="43" t="str">
        <x:v>接口实施</x:v>
      </x:c>
      <x:c r="I93" s="43" t="str">
        <x:v>单位与代码映射可追溯，异常和重复事件可处理。</x:v>
      </x:c>
      <x:c r="J93" s="51" t="n">
        <x:v>28</x:v>
      </x:c>
      <x:c r="K93" s="52" t="n">
        <x:f>J93*'报价参数'!$B$5*'报价参数'!$B$6*(1+'报价参数'!$B$7)/10000</x:f>
        <x:v>8.737792</x:v>
      </x:c>
      <x:c r="L93" s="53" t="str">
        <x:v>纳入</x:v>
      </x:c>
      <x:c r="M93" s="53"/>
    </x:row>
    <x:row r="94" ht="44" customHeight="1">
      <x:c r="A94" s="40" t="str">
        <x:v>MRP-INT-04</x:v>
      </x:c>
      <x:c r="B94" s="40" t="str">
        <x:v>医院数据接口</x:v>
      </x:c>
      <x:c r="C94" s="43" t="str">
        <x:v>药学系统数据适配</x:v>
      </x:c>
      <x:c r="D94" s="43" t="str">
        <x:v>对接药品目录、用药暴露、审核、不良反应和药学服务数据。</x:v>
      </x:c>
      <x:c r="E94" s="43" t="str">
        <x:v>二期（医院试点）</x:v>
      </x:c>
      <x:c r="F94" s="43" t="str">
        <x:v>P0</x:v>
      </x:c>
      <x:c r="G94" s="43" t="str">
        <x:v>建议</x:v>
      </x:c>
      <x:c r="H94" s="43" t="str">
        <x:v>接口实施</x:v>
      </x:c>
      <x:c r="I94" s="43" t="str">
        <x:v>暴露起止、停用、跨科室和目录版本可计算。</x:v>
      </x:c>
      <x:c r="J94" s="51" t="n">
        <x:v>28</x:v>
      </x:c>
      <x:c r="K94" s="52" t="n">
        <x:f>J94*'报价参数'!$B$5*'报价参数'!$B$6*(1+'报价参数'!$B$7)/10000</x:f>
        <x:v>8.737792</x:v>
      </x:c>
      <x:c r="L94" s="53" t="str">
        <x:v>纳入</x:v>
      </x:c>
      <x:c r="M94" s="53"/>
    </x:row>
    <x:row r="95" ht="44" customHeight="1">
      <x:c r="A95" s="39" t="str">
        <x:v>MRP-INT-05</x:v>
      </x:c>
      <x:c r="B95" s="39" t="str">
        <x:v>医院数据接口</x:v>
      </x:c>
      <x:c r="C95" s="42" t="str">
        <x:v>PACS 元数据适配</x:v>
      </x:c>
      <x:c r="D95" s="42" t="str">
        <x:v>对接影像检查元数据和报告索引，首版不含影像 AI。</x:v>
      </x:c>
      <x:c r="E95" s="42" t="str">
        <x:v>三期（增强扩展）</x:v>
      </x:c>
      <x:c r="F95" s="42" t="str">
        <x:v>P2</x:v>
      </x:c>
      <x:c r="G95" s="42" t="str">
        <x:v>选配</x:v>
      </x:c>
      <x:c r="H95" s="42" t="str">
        <x:v>接口实施</x:v>
      </x:c>
      <x:c r="I95" s="42" t="str">
        <x:v>仅提取获批字段，影像文件与算法另行报价。</x:v>
      </x:c>
      <x:c r="J95" s="49" t="n">
        <x:v>24</x:v>
      </x:c>
      <x:c r="K95" s="50" t="n">
        <x:f>J95*'报价参数'!$B$5*'报价参数'!$B$6*(1+'报价参数'!$B$7)/10000</x:f>
        <x:v>7.489536</x:v>
      </x:c>
      <x:c r="L95" s="53" t="str">
        <x:v>待议</x:v>
      </x:c>
      <x:c r="M95" s="53"/>
    </x:row>
    <x:row r="96" ht="44" customHeight="1">
      <x:c r="A96" s="39" t="str">
        <x:v>MRP-INT-06</x:v>
      </x:c>
      <x:c r="B96" s="39" t="str">
        <x:v>医院数据接口</x:v>
      </x:c>
      <x:c r="C96" s="42" t="str">
        <x:v>随访/专病库适配</x:v>
      </x:c>
      <x:c r="D96" s="42" t="str">
        <x:v>对接院内随访或专病库的结局和量表数据。</x:v>
      </x:c>
      <x:c r="E96" s="42" t="str">
        <x:v>三期（增强扩展）</x:v>
      </x:c>
      <x:c r="F96" s="42" t="str">
        <x:v>P2</x:v>
      </x:c>
      <x:c r="G96" s="42" t="str">
        <x:v>选配</x:v>
      </x:c>
      <x:c r="H96" s="42" t="str">
        <x:v>接口实施</x:v>
      </x:c>
      <x:c r="I96" s="42" t="str">
        <x:v>按实际系统和字段范围专项评估。</x:v>
      </x:c>
      <x:c r="J96" s="49" t="n">
        <x:v>24</x:v>
      </x:c>
      <x:c r="K96" s="50" t="n">
        <x:f>J96*'报价参数'!$B$5*'报价参数'!$B$6*(1+'报价参数'!$B$7)/10000</x:f>
        <x:v>7.489536</x:v>
      </x:c>
      <x:c r="L96" s="53" t="str">
        <x:v>待议</x:v>
      </x:c>
      <x:c r="M96" s="53"/>
    </x:row>
    <x:row r="97">
      <x:c r="A97" s="56" t="str">
        <x:v>已纳入功能合计（待议/暂缓项不进入合同建议总价）</x:v>
      </x:c>
      <x:c r="B97" s="56" t="str">
        <x:v>已纳入功能合计（待议/暂缓项不进入合同建议总价）</x:v>
      </x:c>
      <x:c r="C97" s="56" t="str">
        <x:v>已纳入功能合计（待议/暂缓项不进入合同建议总价）</x:v>
      </x:c>
      <x:c r="D97" s="56" t="str">
        <x:v>已纳入功能合计（待议/暂缓项不进入合同建议总价）</x:v>
      </x:c>
      <x:c r="E97" s="56" t="str">
        <x:v>已纳入功能合计（待议/暂缓项不进入合同建议总价）</x:v>
      </x:c>
      <x:c r="F97" s="56" t="str">
        <x:v>已纳入功能合计（待议/暂缓项不进入合同建议总价）</x:v>
      </x:c>
      <x:c r="G97" s="56" t="str">
        <x:v>已纳入功能合计（待议/暂缓项不进入合同建议总价）</x:v>
      </x:c>
      <x:c r="H97" s="56" t="str">
        <x:v>已纳入功能合计（待议/暂缓项不进入合同建议总价）</x:v>
      </x:c>
      <x:c r="I97" s="56" t="str">
        <x:v>已纳入功能合计（待议/暂缓项不进入合同建议总价）</x:v>
      </x:c>
      <x:c r="J97" s="56" t="n">
        <x:f>SUMIF(L6:L96,"纳入",J6:J96)</x:f>
        <x:v>1653</x:v>
      </x:c>
      <x:c r="K97" s="57" t="n">
        <x:f>SUMIF(L6:L96,"纳入",K6:K96)</x:f>
        <x:v>515.8417919999997</x:v>
      </x:c>
      <x:c r="L97" s="56"/>
      <x:c r="M97" s="56"/>
    </x:row>
  </x:sheetData>
  <x:mergeCells>
    <x:mergeCell ref="A1:M1"/>
    <x:mergeCell ref="A2:M2"/>
    <x:mergeCell ref="A3:D3"/>
    <x:mergeCell ref="E3:H3"/>
    <x:mergeCell ref="I3:M3"/>
    <x:mergeCell ref="A97:I97"/>
    <x:mergeCell ref="L97:M97"/>
  </x:mergeCells>
  <x:dataValidations count="3">
    <x:dataValidation type="list" sqref="L6:L96">
      <x:formula1>"纳入,待议,暂缓"</x:formula1>
    </x:dataValidation>
    <x:dataValidation type="list" sqref="E6:E96">
      <x:formula1>"一期（核心平台）,二期（医院试点）,三期（增强扩展）"</x:formula1>
    </x:dataValidation>
    <x:dataValidation type="list" sqref="F6:F96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ac5a40a0364a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</x:cols>
  <x:sheetData>
    <x:row r="1" ht="34" customHeight="1">
      <x:c r="A1" s="4" t="str">
        <x:v>科研平台分期范围与模块汇总</x:v>
      </x:c>
      <x:c r="B1" s="4" t="str">
        <x:v>科研平台分期范围与模块汇总</x:v>
      </x:c>
      <x:c r="C1" s="4" t="str">
        <x:v>科研平台分期范围与模块汇总</x:v>
      </x:c>
      <x:c r="D1" s="4" t="str">
        <x:v>科研平台分期范围与模块汇总</x:v>
      </x:c>
      <x:c r="E1" s="4" t="str">
        <x:v>科研平台分期范围与模块汇总</x:v>
      </x:c>
      <x:c r="F1" s="4" t="str">
        <x:v>科研平台分期范围与模块汇总</x:v>
      </x:c>
      <x:c r="G1" s="4" t="str">
        <x:v>科研平台分期范围与模块汇总</x:v>
      </x:c>
    </x:row>
    <x:row r="2">
      <x:c r="A2" s="143"/>
      <x:c r="B2" s="143"/>
      <x:c r="C2" s="143"/>
      <x:c r="D2" s="143"/>
      <x:c r="E2" s="143"/>
      <x:c r="F2" s="143"/>
      <x:c r="G2" s="143"/>
    </x:row>
    <x:row r="3" ht="30" customHeight="1">
      <x:c r="A3" s="13" t="str">
        <x:v>实施阶段</x:v>
      </x:c>
      <x:c r="B3" s="13" t="str">
        <x:v>模块数</x:v>
      </x:c>
      <x:c r="C3" s="13" t="str">
        <x:v>已纳入项</x:v>
      </x:c>
      <x:c r="D3" s="13" t="str">
        <x:v>待议项</x:v>
      </x:c>
      <x:c r="E3" s="13" t="str">
        <x:v>暂缓项</x:v>
      </x:c>
      <x:c r="F3" s="13" t="str">
        <x:v>估算人日</x:v>
      </x:c>
      <x:c r="G3" s="13" t="str">
        <x:v>含税金额（万元）</x:v>
      </x:c>
    </x:row>
    <x:row r="4">
      <x:c r="A4" s="38" t="str">
        <x:v>一期（核心平台）</x:v>
      </x:c>
      <x:c r="B4" s="38" t="n">
        <x:f>COUNTIF('功能模块选择清单'!$E$6:$E$96,A4)</x:f>
        <x:v>62</x:v>
      </x:c>
      <x:c r="C4" s="38" t="n">
        <x:f>COUNTIFS('功能模块选择清单'!$E$6:$E$96,A4,'功能模块选择清单'!$L$6:$L$96,"纳入")</x:f>
        <x:v>62</x:v>
      </x:c>
      <x:c r="D4" s="38" t="n">
        <x:f>COUNTIFS('功能模块选择清单'!$E$6:$E$96,A4,'功能模块选择清单'!$L$6:$L$96,"待议")</x:f>
        <x:v>0</x:v>
      </x:c>
      <x:c r="E4" s="38" t="n">
        <x:f>COUNTIFS('功能模块选择清单'!$E$6:$E$96,A4,'功能模块选择清单'!$L$6:$L$96,"暂缓")</x:f>
        <x:v>0</x:v>
      </x:c>
      <x:c r="F4" s="38" t="n">
        <x:f>SUMIFS('功能模块选择清单'!$J$6:$J$96,'功能模块选择清单'!$E$6:$E$96,A4,'功能模块选择清单'!$L$6:$L$96,"纳入")</x:f>
        <x:v>1239</x:v>
      </x:c>
      <x:c r="G4" s="44" t="n">
        <x:f>SUMIFS('功能模块选择清单'!$K$6:$K$96,'功能模块选择清单'!$E$6:$E$96,A4,'功能模块选择清单'!$L$6:$L$96,"纳入")</x:f>
        <x:v>386.64729599999987</x:v>
      </x:c>
    </x:row>
    <x:row r="5">
      <x:c r="A5" s="40" t="str">
        <x:v>二期（医院试点）</x:v>
      </x:c>
      <x:c r="B5" s="40" t="n">
        <x:f>COUNTIF('功能模块选择清单'!$E$6:$E$96,A5)</x:f>
        <x:v>19</x:v>
      </x:c>
      <x:c r="C5" s="40" t="n">
        <x:f>COUNTIFS('功能模块选择清单'!$E$6:$E$96,A5,'功能模块选择清单'!$L$6:$L$96,"纳入")</x:f>
        <x:v>19</x:v>
      </x:c>
      <x:c r="D5" s="40" t="n">
        <x:f>COUNTIFS('功能模块选择清单'!$E$6:$E$96,A5,'功能模块选择清单'!$L$6:$L$96,"待议")</x:f>
        <x:v>0</x:v>
      </x:c>
      <x:c r="E5" s="40" t="n">
        <x:f>COUNTIFS('功能模块选择清单'!$E$6:$E$96,A5,'功能模块选择清单'!$L$6:$L$96,"暂缓")</x:f>
        <x:v>0</x:v>
      </x:c>
      <x:c r="F5" s="40" t="n">
        <x:f>SUMIFS('功能模块选择清单'!$J$6:$J$96,'功能模块选择清单'!$E$6:$E$96,A5,'功能模块选择清单'!$L$6:$L$96,"纳入")</x:f>
        <x:v>414</x:v>
      </x:c>
      <x:c r="G5" s="46" t="n">
        <x:f>SUMIFS('功能模块选择清单'!$K$6:$K$96,'功能模块选择清单'!$E$6:$E$96,A5,'功能模块选择清单'!$L$6:$L$96,"纳入")</x:f>
        <x:v>129.19449600000002</x:v>
      </x:c>
    </x:row>
    <x:row r="6">
      <x:c r="A6" s="39" t="str">
        <x:v>三期（增强扩展）</x:v>
      </x:c>
      <x:c r="B6" s="39" t="n">
        <x:f>COUNTIF('功能模块选择清单'!$E$6:$E$96,A6)</x:f>
        <x:v>10</x:v>
      </x:c>
      <x:c r="C6" s="39" t="n">
        <x:f>COUNTIFS('功能模块选择清单'!$E$6:$E$96,A6,'功能模块选择清单'!$L$6:$L$96,"纳入")</x:f>
        <x:v>0</x:v>
      </x:c>
      <x:c r="D6" s="39" t="n">
        <x:f>COUNTIFS('功能模块选择清单'!$E$6:$E$96,A6,'功能模块选择清单'!$L$6:$L$96,"待议")</x:f>
        <x:v>10</x:v>
      </x:c>
      <x:c r="E6" s="39" t="n">
        <x:f>COUNTIFS('功能模块选择清单'!$E$6:$E$96,A6,'功能模块选择清单'!$L$6:$L$96,"暂缓")</x:f>
        <x:v>0</x:v>
      </x:c>
      <x:c r="F6" s="39" t="n">
        <x:f>SUMIFS('功能模块选择清单'!$J$6:$J$96,'功能模块选择清单'!$E$6:$E$96,A6,'功能模块选择清单'!$L$6:$L$96,"纳入")</x:f>
        <x:v>0</x:v>
      </x:c>
      <x:c r="G6" s="45" t="n">
        <x:f>SUMIFS('功能模块选择清单'!$K$6:$K$96,'功能模块选择清单'!$E$6:$E$96,A6,'功能模块选择清单'!$L$6:$L$96,"纳入")</x:f>
        <x:v>0</x:v>
      </x:c>
    </x:row>
    <x:row r="7">
      <x:c r="A7" s="157" t="str">
        <x:v>合计</x:v>
      </x:c>
      <x:c r="B7" s="157" t="n">
        <x:f>SUM(B4:B6)</x:f>
        <x:v>91</x:v>
      </x:c>
      <x:c r="C7" s="157" t="n">
        <x:f>SUM(C4:C6)</x:f>
        <x:v>81</x:v>
      </x:c>
      <x:c r="D7" s="157" t="n">
        <x:f>SUM(D4:D6)</x:f>
        <x:v>10</x:v>
      </x:c>
      <x:c r="E7" s="157" t="n">
        <x:f>SUM(E4:E6)</x:f>
        <x:v>0</x:v>
      </x:c>
      <x:c r="F7" s="157" t="n">
        <x:f>SUM(F4:F6)</x:f>
        <x:v>1653</x:v>
      </x:c>
      <x:c r="G7" s="158" t="n">
        <x:f>SUM(G4:G6)</x:f>
        <x:v>515.8417919999999</x:v>
      </x:c>
    </x:row>
    <x:row r="8">
      <x:c r="A8" s="143"/>
      <x:c r="B8" s="143"/>
      <x:c r="C8" s="143"/>
      <x:c r="D8" s="143"/>
      <x:c r="E8" s="143"/>
      <x:c r="F8" s="143"/>
      <x:c r="G8" s="143"/>
    </x:row>
    <x:row r="9">
      <x:c r="A9" s="143"/>
      <x:c r="B9" s="143"/>
      <x:c r="C9" s="143"/>
      <x:c r="D9" s="143"/>
      <x:c r="E9" s="143"/>
      <x:c r="F9" s="143"/>
      <x:c r="G9" s="143"/>
    </x:row>
    <x:row r="10" ht="24" customHeight="1">
      <x:c r="A10" s="99" t="str">
        <x:v>分期采购建议</x:v>
      </x:c>
      <x:c r="B10" s="99" t="str">
        <x:v>分期采购建议</x:v>
      </x:c>
      <x:c r="C10" s="99" t="str">
        <x:v>分期采购建议</x:v>
      </x:c>
      <x:c r="D10" s="99" t="str">
        <x:v>分期采购建议</x:v>
      </x:c>
      <x:c r="E10" s="99" t="str">
        <x:v>分期采购建议</x:v>
      </x:c>
      <x:c r="F10" s="99" t="str">
        <x:v>分期采购建议</x:v>
      </x:c>
      <x:c r="G10" s="99" t="str">
        <x:v>分期采购建议</x:v>
      </x:c>
    </x:row>
    <x:row r="11">
      <x:c r="A11" s="171" t="str">
        <x:v>优先级 1</x:v>
      </x:c>
      <x:c r="B11" s="172" t="str">
        <x:v>一期必须形成数据导入、队列、质控冻结、统计、图表、报告、审核和 ZIP 的完整闭环。</x:v>
      </x:c>
      <x:c r="C11" s="172"/>
      <x:c r="D11" s="172"/>
      <x:c r="E11" s="172"/>
      <x:c r="F11" s="172"/>
      <x:c r="G11" s="173"/>
    </x:row>
    <x:row r="12">
      <x:c r="A12" s="174" t="str">
        <x:v>优先级 2</x:v>
      </x:c>
      <x:c r="B12" s="137" t="str">
        <x:v>二期以真实医院数据链路和 5-10 个真实研究项目验证为核心，不以接口数量替代研究验收。</x:v>
      </x:c>
      <x:c r="C12" s="137"/>
      <x:c r="D12" s="137"/>
      <x:c r="E12" s="137"/>
      <x:c r="F12" s="137"/>
      <x:c r="G12" s="175"/>
    </x:row>
    <x:row r="13">
      <x:c r="A13" s="174" t="str">
        <x:v>优先级 3</x:v>
      </x:c>
      <x:c r="B13" s="137" t="str">
        <x:v>三期按目标期刊、科室扩展、多机构和高阶算法实际需求选配。</x:v>
      </x:c>
      <x:c r="C13" s="137"/>
      <x:c r="D13" s="137"/>
      <x:c r="E13" s="137"/>
      <x:c r="F13" s="137"/>
      <x:c r="G13" s="175"/>
    </x:row>
    <x:row r="14">
      <x:c r="A14" s="176" t="str">
        <x:v>不可拆项</x:v>
      </x:c>
      <x:c r="B14" s="177" t="str">
        <x:v>权限、审计、数据冻结、SAP 审核、结果追溯和发布门禁属于医学科研质量底座，不建议单独删减。</x:v>
      </x:c>
      <x:c r="C14" s="177"/>
      <x:c r="D14" s="177"/>
      <x:c r="E14" s="177"/>
      <x:c r="F14" s="177"/>
      <x:c r="G14" s="178"/>
    </x:row>
  </x:sheetData>
  <x:mergeCells>
    <x:mergeCell ref="A1:G1"/>
    <x:mergeCell ref="A10:G10"/>
    <x:mergeCell ref="B11:G11"/>
    <x:mergeCell ref="B12:G12"/>
    <x:mergeCell ref="B13:G13"/>
    <x:mergeCell ref="B14:G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14" hidden="0" customWidth="1"/>
    <x:col min="4" max="4" width="64" hidden="0" customWidth="1"/>
    <x:col min="5" max="5" width="18" hidden="0" customWidth="1"/>
  </x:cols>
  <x:sheetData>
    <x:row r="1" ht="34" customHeight="1">
      <x:c r="A1" s="4" t="str">
        <x:v>公共基础能力（一期/二期必须建设）</x:v>
      </x:c>
      <x:c r="B1" s="4" t="str">
        <x:v>公共基础能力（一期/二期必须建设）</x:v>
      </x:c>
      <x:c r="C1" s="4" t="str">
        <x:v>公共基础能力（一期/二期必须建设）</x:v>
      </x:c>
      <x:c r="D1" s="4" t="str">
        <x:v>公共基础能力（一期/二期必须建设）</x:v>
      </x:c>
      <x:c r="E1" s="4" t="str">
        <x:v>公共基础能力（一期/二期必须建设）</x:v>
      </x:c>
    </x:row>
    <x:row r="2">
      <x:c r="A2" s="179" t="str">
        <x:v>以下能力是科研项目合规运行和可交付验收的共同底座，不建议按普通可选功能拆散。</x:v>
      </x:c>
      <x:c r="B2" s="179" t="str">
        <x:v>以下能力是科研项目合规运行和可交付验收的共同底座，不建议按普通可选功能拆散。</x:v>
      </x:c>
      <x:c r="C2" s="179" t="str">
        <x:v>以下能力是科研项目合规运行和可交付验收的共同底座，不建议按普通可选功能拆散。</x:v>
      </x:c>
      <x:c r="D2" s="179" t="str">
        <x:v>以下能力是科研项目合规运行和可交付验收的共同底座，不建议按普通可选功能拆散。</x:v>
      </x:c>
      <x:c r="E2" s="179" t="str">
        <x:v>以下能力是科研项目合规运行和可交付验收的共同底座，不建议按普通可选功能拆散。</x:v>
      </x:c>
    </x:row>
    <x:row r="3">
      <x:c r="A3" s="143"/>
      <x:c r="B3" s="143"/>
      <x:c r="C3" s="143"/>
      <x:c r="D3" s="143"/>
      <x:c r="E3" s="143"/>
    </x:row>
    <x:row r="4" ht="30" customHeight="1">
      <x:c r="A4" s="13" t="str">
        <x:v>序号</x:v>
      </x:c>
      <x:c r="B4" s="13" t="str">
        <x:v>基础能力</x:v>
      </x:c>
      <x:c r="C4" s="13" t="str">
        <x:v>建议阶段</x:v>
      </x:c>
      <x:c r="D4" s="13" t="str">
        <x:v>不可省略原因</x:v>
      </x:c>
      <x:c r="E4" s="13" t="str">
        <x:v>对应需求</x:v>
      </x:c>
    </x:row>
    <x:row r="5">
      <x:c r="A5" s="41" t="n">
        <x:v>1</x:v>
      </x:c>
      <x:c r="B5" s="41" t="str">
        <x:v>统一身份认证与医院 SSO</x:v>
      </x:c>
      <x:c r="C5" s="41" t="str">
        <x:v>一期</x:v>
      </x:c>
      <x:c r="D5" s="41" t="str">
        <x:v>确保审核人与操作者身份真实，前端角色切换不能替代授权。</x:v>
      </x:c>
      <x:c r="E5" s="41" t="str">
        <x:v>MRP-SYS-01</x:v>
      </x:c>
    </x:row>
    <x:row r="6">
      <x:c r="A6" s="41" t="n">
        <x:v>2</x:v>
      </x:c>
      <x:c r="B6" s="41" t="str">
        <x:v>RBAC + ABAC 权限</x:v>
      </x:c>
      <x:c r="C6" s="41" t="str">
        <x:v>一期</x:v>
      </x:c>
      <x:c r="D6" s="41" t="str">
        <x:v>科研数据需按项目、目的、数据域、伦理和期限控制。</x:v>
      </x:c>
      <x:c r="E6" s="41" t="str">
        <x:v>MRP-SYS-02</x:v>
      </x:c>
    </x:row>
    <x:row r="7">
      <x:c r="A7" s="41" t="n">
        <x:v>3</x:v>
      </x:c>
      <x:c r="B7" s="41" t="str">
        <x:v>追加式审计</x:v>
      </x:c>
      <x:c r="C7" s="41" t="str">
        <x:v>一期</x:v>
      </x:c>
      <x:c r="D7" s="41" t="str">
        <x:v>满足数据查看、分析、审核、导出和配置变更追溯。</x:v>
      </x:c>
      <x:c r="E7" s="41" t="str">
        <x:v>MRP-SYS-03</x:v>
      </x:c>
    </x:row>
    <x:row r="8">
      <x:c r="A8" s="41" t="n">
        <x:v>4</x:v>
      </x:c>
      <x:c r="B8" s="41" t="str">
        <x:v>可靠异步任务</x:v>
      </x:c>
      <x:c r="C8" s="41" t="str">
        <x:v>一期</x:v>
      </x:c>
      <x:c r="D8" s="41" t="str">
        <x:v>提取、分析、图表、报告和导出必须支持重试、幂等和失败隔离。</x:v>
      </x:c>
      <x:c r="E8" s="41" t="str">
        <x:v>MRP-SYS-04</x:v>
      </x:c>
    </x:row>
    <x:row r="9">
      <x:c r="A9" s="41" t="n">
        <x:v>5</x:v>
      </x:c>
      <x:c r="B9" s="41" t="str">
        <x:v>制品与附件存储</x:v>
      </x:c>
      <x:c r="C9" s="41" t="str">
        <x:v>一期</x:v>
      </x:c>
      <x:c r="D9" s="41" t="str">
        <x:v>报告、图表、数据包、协议和审计需版本化保存。</x:v>
      </x:c>
      <x:c r="E9" s="41" t="str">
        <x:v>MRP-SYS-05</x:v>
      </x:c>
    </x:row>
    <x:row r="10">
      <x:c r="A10" s="41" t="n">
        <x:v>6</x:v>
      </x:c>
      <x:c r="B10" s="41" t="str">
        <x:v>参数、字典和代码集</x:v>
      </x:c>
      <x:c r="C10" s="41" t="str">
        <x:v>一期</x:v>
      </x:c>
      <x:c r="D10" s="41" t="str">
        <x:v>医院代码、单位、研究模板和算法配置需统一版本治理。</x:v>
      </x:c>
      <x:c r="E10" s="41" t="str">
        <x:v>MRP-SYS-08</x:v>
      </x:c>
    </x:row>
    <x:row r="11">
      <x:c r="A11" s="41" t="n">
        <x:v>7</x:v>
      </x:c>
      <x:c r="B11" s="41" t="str">
        <x:v>统一 OpenAPI 与接口文档</x:v>
      </x:c>
      <x:c r="C11" s="41" t="str">
        <x:v>一期</x:v>
      </x:c>
      <x:c r="D11" s="41" t="str">
        <x:v>保证前后端、适配器和后续医院对接可验收。</x:v>
      </x:c>
      <x:c r="E11" s="41" t="str">
        <x:v>MRP-SYS-09</x:v>
      </x:c>
    </x:row>
    <x:row r="12">
      <x:c r="A12" s="43" t="n">
        <x:v>8</x:v>
      </x:c>
      <x:c r="B12" s="43" t="str">
        <x:v>自动化测试与质量门禁</x:v>
      </x:c>
      <x:c r="C12" s="43" t="str">
        <x:v>一期</x:v>
      </x:c>
      <x:c r="D12" s="43" t="str">
        <x:v>不能以页面展示或编译通过代替真实流程验收。</x:v>
      </x:c>
      <x:c r="E12" s="43" t="str">
        <x:v>MRP-SYS-10</x:v>
      </x:c>
    </x:row>
    <x:row r="13">
      <x:c r="A13" s="43" t="n">
        <x:v>9</x:v>
      </x:c>
      <x:c r="B13" s="43" t="str">
        <x:v>日志、监控和告警</x:v>
      </x:c>
      <x:c r="C13" s="43" t="str">
        <x:v>二期</x:v>
      </x:c>
      <x:c r="D13" s="43" t="str">
        <x:v>真实数据试点需要任务、容量、失败率和权限到期监控。</x:v>
      </x:c>
      <x:c r="E13" s="43" t="str">
        <x:v>MRP-SYS-06</x:v>
      </x:c>
    </x:row>
    <x:row r="14">
      <x:c r="A14" s="43" t="n">
        <x:v>10</x:v>
      </x:c>
      <x:c r="B14" s="43" t="str">
        <x:v>备份恢复与容灾演练</x:v>
      </x:c>
      <x:c r="C14" s="43" t="str">
        <x:v>二期</x:v>
      </x:c>
      <x:c r="D14" s="43" t="str">
        <x:v>正式科研数据、分析制品和审计必须可恢复。</x:v>
      </x:c>
      <x:c r="E14" s="43" t="str">
        <x:v>MRP-SYS-07</x:v>
      </x:c>
    </x:row>
    <x:row r="15">
      <x:c r="A15" s="43" t="n">
        <x:v>11</x:v>
      </x:c>
      <x:c r="B15" s="43" t="str">
        <x:v>内网容器部署与培训</x:v>
      </x:c>
      <x:c r="C15" s="43" t="str">
        <x:v>二期</x:v>
      </x:c>
      <x:c r="D15" s="43" t="str">
        <x:v>确保医院可运行、维护、备份、升级和使用。</x:v>
      </x:c>
      <x:c r="E15" s="43" t="str">
        <x:v>MRP-SYS-11</x:v>
      </x:c>
    </x:row>
    <x:row r="16">
      <x:c r="A16" s="43" t="n">
        <x:v>12</x:v>
      </x:c>
      <x:c r="B16" s="43" t="str">
        <x:v>隐私、脱敏和导出扫描</x:v>
      </x:c>
      <x:c r="C16" s="43" t="str">
        <x:v>二期</x:v>
      </x:c>
      <x:c r="D16" s="43" t="str">
        <x:v>避免直接身份信息进入分析区或成果包。</x:v>
      </x:c>
      <x:c r="E16" s="43" t="str">
        <x:v>MRP-AUTH-03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42" hidden="0" customWidth="1"/>
    <x:col min="5" max="5" width="42" hidden="0" customWidth="1"/>
    <x:col min="6" max="6" width="42" hidden="0" customWidth="1"/>
    <x:col min="7" max="7" width="18" hidden="0" customWidth="1"/>
    <x:col min="8" max="8" width="28" hidden="0" customWidth="1"/>
  </x:cols>
  <x:sheetData>
    <x:row r="1" ht="34" customHeight="1">
      <x:c r="A1" s="4" t="str">
        <x:v>医院数据接口与现场实施边界</x:v>
      </x:c>
      <x:c r="B1" s="4" t="str">
        <x:v>医院数据接口与现场实施边界</x:v>
      </x:c>
      <x:c r="C1" s="4" t="str">
        <x:v>医院数据接口与现场实施边界</x:v>
      </x:c>
      <x:c r="D1" s="4" t="str">
        <x:v>医院数据接口与现场实施边界</x:v>
      </x:c>
      <x:c r="E1" s="4" t="str">
        <x:v>医院数据接口与现场实施边界</x:v>
      </x:c>
      <x:c r="F1" s="4" t="str">
        <x:v>医院数据接口与现场实施边界</x:v>
      </x:c>
      <x:c r="G1" s="4" t="str">
        <x:v>医院数据接口与现场实施边界</x:v>
      </x:c>
      <x:c r="H1" s="4" t="str">
        <x:v>医院数据接口与现场实施边界</x:v>
      </x:c>
    </x:row>
    <x:row r="2">
      <x:c r="A2" s="180" t="str">
        <x:v>接口报价为标准工作量测算。医院系统数量、厂商配合、字段质量、历史数据量、网络与安全审批差异较大，正式合同前必须完成现场调研。</x:v>
      </x:c>
      <x:c r="B2" s="180" t="str">
        <x:v>接口报价为标准工作量测算。医院系统数量、厂商配合、字段质量、历史数据量、网络与安全审批差异较大，正式合同前必须完成现场调研。</x:v>
      </x:c>
      <x:c r="C2" s="180" t="str">
        <x:v>接口报价为标准工作量测算。医院系统数量、厂商配合、字段质量、历史数据量、网络与安全审批差异较大，正式合同前必须完成现场调研。</x:v>
      </x:c>
      <x:c r="D2" s="180" t="str">
        <x:v>接口报价为标准工作量测算。医院系统数量、厂商配合、字段质量、历史数据量、网络与安全审批差异较大，正式合同前必须完成现场调研。</x:v>
      </x:c>
      <x:c r="E2" s="180" t="str">
        <x:v>接口报价为标准工作量测算。医院系统数量、厂商配合、字段质量、历史数据量、网络与安全审批差异较大，正式合同前必须完成现场调研。</x:v>
      </x:c>
      <x:c r="F2" s="180" t="str">
        <x:v>接口报价为标准工作量测算。医院系统数量、厂商配合、字段质量、历史数据量、网络与安全审批差异较大，正式合同前必须完成现场调研。</x:v>
      </x:c>
      <x:c r="G2" s="180" t="str">
        <x:v>接口报价为标准工作量测算。医院系统数量、厂商配合、字段质量、历史数据量、网络与安全审批差异较大，正式合同前必须完成现场调研。</x:v>
      </x:c>
      <x:c r="H2" s="180" t="str">
        <x:v>接口报价为标准工作量测算。医院系统数量、厂商配合、字段质量、历史数据量、网络与安全审批差异较大，正式合同前必须完成现场调研。</x:v>
      </x:c>
    </x:row>
    <x:row r="3">
      <x:c r="A3" s="143"/>
      <x:c r="B3" s="143"/>
      <x:c r="C3" s="143"/>
      <x:c r="D3" s="143"/>
      <x:c r="E3" s="143"/>
      <x:c r="F3" s="143"/>
      <x:c r="G3" s="143"/>
      <x:c r="H3" s="143"/>
    </x:row>
    <x:row r="4" ht="30" customHeight="1">
      <x:c r="A4" s="13" t="str">
        <x:v>接口/实施项</x:v>
      </x:c>
      <x:c r="B4" s="13" t="str">
        <x:v>默认阶段</x:v>
      </x:c>
      <x:c r="C4" s="13" t="str">
        <x:v>采购建议</x:v>
      </x:c>
      <x:c r="D4" s="13" t="str">
        <x:v>标准范围</x:v>
      </x:c>
      <x:c r="E4" s="13" t="str">
        <x:v>甲方前置条件</x:v>
      </x:c>
      <x:c r="F4" s="13" t="str">
        <x:v>不含范围</x:v>
      </x:c>
      <x:c r="G4" s="13" t="str">
        <x:v>对应需求</x:v>
      </x:c>
      <x:c r="H4" s="13" t="str">
        <x:v>商务处理</x:v>
      </x:c>
    </x:row>
    <x:row r="5" ht="62" customHeight="1">
      <x:c r="A5" s="137" t="str">
        <x:v>HIS 科研数据适配</x:v>
      </x:c>
      <x:c r="B5" s="137" t="str">
        <x:v>二期</x:v>
      </x:c>
      <x:c r="C5" s="137" t="str">
        <x:v>建议</x:v>
      </x:c>
      <x:c r="D5" s="137" t="str">
        <x:v>人口学、就诊、诊断、医嘱、费用的获批只读字段</x:v>
      </x:c>
      <x:c r="E5" s="137" t="str">
        <x:v>提供接口文档、测试环境、厂商联系人和数据字典</x:v>
      </x:c>
      <x:c r="F5" s="137" t="str">
        <x:v>HIS 厂商收费、业务系统改造、写回</x:v>
      </x:c>
      <x:c r="G5" s="137" t="str">
        <x:v>MRP-INT-01</x:v>
      </x:c>
      <x:c r="H5" s="137" t="str">
        <x:v>标准范围内纳入二期</x:v>
      </x:c>
    </x:row>
    <x:row r="6" ht="62" customHeight="1">
      <x:c r="A6" s="137" t="str">
        <x:v>EMR 科研数据适配</x:v>
      </x:c>
      <x:c r="B6" s="137" t="str">
        <x:v>二期</x:v>
      </x:c>
      <x:c r="C6" s="137" t="str">
        <x:v>建议</x:v>
      </x:c>
      <x:c r="D6" s="137" t="str">
        <x:v>结构化病历字段和批准的文本抽取结果</x:v>
      </x:c>
      <x:c r="E6" s="137" t="str">
        <x:v>明确病历版本、文书范围和抽取规则</x:v>
      </x:c>
      <x:c r="F6" s="137" t="str">
        <x:v>通用病历 NLP 大模型训练、全量历史文书治理</x:v>
      </x:c>
      <x:c r="G6" s="137" t="str">
        <x:v>MRP-INT-02</x:v>
      </x:c>
      <x:c r="H6" s="137" t="str">
        <x:v>现场评估后锁定</x:v>
      </x:c>
    </x:row>
    <x:row r="7" ht="62" customHeight="1">
      <x:c r="A7" s="137" t="str">
        <x:v>LIS 科研数据适配</x:v>
      </x:c>
      <x:c r="B7" s="137" t="str">
        <x:v>二期</x:v>
      </x:c>
      <x:c r="C7" s="137" t="str">
        <x:v>建议</x:v>
      </x:c>
      <x:c r="D7" s="137" t="str">
        <x:v>检验结果、单位、参考范围、标本和时间</x:v>
      </x:c>
      <x:c r="E7" s="137" t="str">
        <x:v>提供项目代码、单位字典和异常值规则</x:v>
      </x:c>
      <x:c r="F7" s="137" t="str">
        <x:v>设备直连、LIS 厂商收费</x:v>
      </x:c>
      <x:c r="G7" s="137" t="str">
        <x:v>MRP-INT-03</x:v>
      </x:c>
      <x:c r="H7" s="137" t="str">
        <x:v>标准范围内纳入二期</x:v>
      </x:c>
    </x:row>
    <x:row r="8" ht="62" customHeight="1">
      <x:c r="A8" s="137" t="str">
        <x:v>药学系统数据适配</x:v>
      </x:c>
      <x:c r="B8" s="137" t="str">
        <x:v>二期</x:v>
      </x:c>
      <x:c r="C8" s="137" t="str">
        <x:v>建议</x:v>
      </x:c>
      <x:c r="D8" s="137" t="str">
        <x:v>药品目录、用药暴露、审核、不良反应</x:v>
      </x:c>
      <x:c r="E8" s="137" t="str">
        <x:v>提供药品编码、停用/长期医嘱和科室规则</x:v>
      </x:c>
      <x:c r="F8" s="137" t="str">
        <x:v>处方写回、临床决策系统改造</x:v>
      </x:c>
      <x:c r="G8" s="137" t="str">
        <x:v>MRP-INT-04</x:v>
      </x:c>
      <x:c r="H8" s="137" t="str">
        <x:v>标准范围内纳入二期</x:v>
      </x:c>
    </x:row>
    <x:row r="9" ht="62" customHeight="1">
      <x:c r="A9" s="137" t="str">
        <x:v>PACS 元数据适配</x:v>
      </x:c>
      <x:c r="B9" s="137" t="str">
        <x:v>三期</x:v>
      </x:c>
      <x:c r="C9" s="137" t="str">
        <x:v>选配</x:v>
      </x:c>
      <x:c r="D9" s="137" t="str">
        <x:v>检查元数据和报告索引</x:v>
      </x:c>
      <x:c r="E9" s="137" t="str">
        <x:v>提供 DICOM/接口规范及影像权限</x:v>
      </x:c>
      <x:c r="F9" s="137" t="str">
        <x:v>影像文件治理、标注和影像 AI</x:v>
      </x:c>
      <x:c r="G9" s="137" t="str">
        <x:v>MRP-INT-05</x:v>
      </x:c>
      <x:c r="H9" s="137" t="str">
        <x:v>单独确认范围</x:v>
      </x:c>
    </x:row>
    <x:row r="10" ht="62" customHeight="1">
      <x:c r="A10" s="137" t="str">
        <x:v>随访/专病库适配</x:v>
      </x:c>
      <x:c r="B10" s="137" t="str">
        <x:v>三期</x:v>
      </x:c>
      <x:c r="C10" s="137" t="str">
        <x:v>选配</x:v>
      </x:c>
      <x:c r="D10" s="137" t="str">
        <x:v>结局、量表和随访时间的获批字段</x:v>
      </x:c>
      <x:c r="E10" s="137" t="str">
        <x:v>提供数据模型和质量说明</x:v>
      </x:c>
      <x:c r="F10" s="137" t="str">
        <x:v>新增随访系统建设</x:v>
      </x:c>
      <x:c r="G10" s="137" t="str">
        <x:v>MRP-INT-06</x:v>
      </x:c>
      <x:c r="H10" s="137" t="str">
        <x:v>按系统单独报价</x:v>
      </x:c>
    </x:row>
    <x:row r="11" ht="62" customHeight="1">
      <x:c r="A11" s="137" t="str">
        <x:v>本地 DeepSeek R1 网关</x:v>
      </x:c>
      <x:c r="B11" s="137" t="str">
        <x:v>一期/二期</x:v>
      </x:c>
      <x:c r="C11" s="137" t="str">
        <x:v>建议</x:v>
      </x:c>
      <x:c r="D11" s="137" t="str">
        <x:v>对接既有 OpenAI 兼容或医院批准接口</x:v>
      </x:c>
      <x:c r="E11" s="137" t="str">
        <x:v>医院提供模型服务、算力、并发和安全策略</x:v>
      </x:c>
      <x:c r="F11" s="137" t="str">
        <x:v>GPU、模型训练、商业模型许可</x:v>
      </x:c>
      <x:c r="G11" s="137" t="str">
        <x:v>MRP-AI-01</x:v>
      </x:c>
      <x:c r="H11" s="137" t="str">
        <x:v>平台适配纳入，算力另计</x:v>
      </x:c>
    </x:row>
    <x:row r="12" ht="62" customHeight="1">
      <x:c r="A12" s="137" t="str">
        <x:v>真实项目试点服务</x:v>
      </x:c>
      <x:c r="B12" s="137" t="str">
        <x:v>二期</x:v>
      </x:c>
      <x:c r="C12" s="137" t="str">
        <x:v>建议</x:v>
      </x:c>
      <x:c r="D12" s="137" t="str">
        <x:v>3 类模板、2-3 科室、5-10 个项目的方法和流程验证</x:v>
      </x:c>
      <x:c r="E12" s="137" t="str">
        <x:v>医院提供 PI、统计师、医学负责人和伦理授权</x:v>
      </x:c>
      <x:c r="F12" s="137" t="str">
        <x:v>代写论文、保证发表、无限次专项分析</x:v>
      </x:c>
      <x:c r="G12" s="137" t="str">
        <x:v>试点验收</x:v>
      </x:c>
      <x:c r="H12" s="137" t="str">
        <x:v>可拆分专项服务包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80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34" customHeight="1">
      <x:c r="A1" s="4" t="str">
        <x:v>报价边界、交付物与商务条款建议</x:v>
      </x:c>
      <x:c r="B1" s="4" t="str">
        <x:v>报价边界、交付物与商务条款建议</x:v>
      </x:c>
      <x:c r="C1" s="4" t="str">
        <x:v>报价边界、交付物与商务条款建议</x:v>
      </x:c>
      <x:c r="D1" s="4" t="str">
        <x:v>报价边界、交付物与商务条款建议</x:v>
      </x:c>
      <x:c r="E1" s="4" t="str">
        <x:v>报价边界、交付物与商务条款建议</x:v>
      </x:c>
      <x:c r="F1" s="4" t="str">
        <x:v>报价边界、交付物与商务条款建议</x:v>
      </x:c>
    </x:row>
    <x:row r="2">
      <x:c r="A2" s="143"/>
      <x:c r="B2" s="143"/>
      <x:c r="C2" s="143"/>
      <x:c r="D2" s="143"/>
      <x:c r="E2" s="143"/>
      <x:c r="F2" s="143"/>
    </x:row>
    <x:row r="3" ht="24" customHeight="1">
      <x:c r="A3" s="99" t="str">
        <x:v>一、报价默认包含</x:v>
      </x:c>
      <x:c r="B3" s="99" t="str">
        <x:v>一、报价默认包含</x:v>
      </x:c>
      <x:c r="C3" s="99" t="str">
        <x:v>一、报价默认包含</x:v>
      </x:c>
      <x:c r="D3" s="99" t="str">
        <x:v>一、报价默认包含</x:v>
      </x:c>
      <x:c r="E3" s="99" t="str">
        <x:v>一、报价默认包含</x:v>
      </x:c>
      <x:c r="F3" s="99" t="str">
        <x:v>一、报价默认包含</x:v>
      </x:c>
    </x:row>
    <x:row r="4">
      <x:c r="A4" s="137" t="n">
        <x:v>1</x:v>
      </x:c>
      <x:c r="B4" s="137" t="str">
        <x:v>产品与需求</x:v>
      </x:c>
      <x:c r="C4" s="137" t="str">
        <x:v>已确认范围的产品设计、需求规格、状态机和需求追踪矩阵。</x:v>
      </x:c>
      <x:c r="D4" s="143"/>
      <x:c r="E4" s="143"/>
      <x:c r="F4" s="143"/>
    </x:row>
    <x:row r="5">
      <x:c r="A5" s="137" t="n">
        <x:v>2</x:v>
      </x:c>
      <x:c r="B5" s="137" t="str">
        <x:v>软件交付</x:v>
      </x:c>
      <x:c r="C5" s="137" t="str">
        <x:v>所选标准模块的前端、Core API、AI/统计服务、数据库迁移和部署配置。</x:v>
      </x:c>
      <x:c r="D5" s="143"/>
      <x:c r="E5" s="143"/>
      <x:c r="F5" s="143"/>
    </x:row>
    <x:row r="6">
      <x:c r="A6" s="137" t="n">
        <x:v>3</x:v>
      </x:c>
      <x:c r="B6" s="137" t="str">
        <x:v>质量保障</x:v>
      </x:c>
      <x:c r="C6" s="137" t="str">
        <x:v>单元、契约、集成、E2E、安全、性能、数据一致性和恢复测试。</x:v>
      </x:c>
      <x:c r="D6" s="143"/>
      <x:c r="E6" s="143"/>
      <x:c r="F6" s="143"/>
    </x:row>
    <x:row r="7">
      <x:c r="A7" s="137" t="n">
        <x:v>4</x:v>
      </x:c>
      <x:c r="B7" s="137" t="str">
        <x:v>文档</x:v>
      </x:c>
      <x:c r="C7" s="137" t="str">
        <x:v>页面接口文档、OpenAPI、部署、运维、备份恢复、用户和验收手册。</x:v>
      </x:c>
      <x:c r="D7" s="143"/>
      <x:c r="E7" s="143"/>
      <x:c r="F7" s="143"/>
    </x:row>
    <x:row r="8">
      <x:c r="A8" s="137" t="n">
        <x:v>5</x:v>
      </x:c>
      <x:c r="B8" s="137" t="str">
        <x:v>实施与培训</x:v>
      </x:c>
      <x:c r="C8" s="137" t="str">
        <x:v>约定范围内安装部署、管理员培训、关键用户培训和试运行支持。</x:v>
      </x:c>
      <x:c r="D8" s="143"/>
      <x:c r="E8" s="143"/>
      <x:c r="F8" s="143"/>
    </x:row>
    <x:row r="9">
      <x:c r="A9" s="137" t="n">
        <x:v>6</x:v>
      </x:c>
      <x:c r="B9" s="137" t="str">
        <x:v>质保</x:v>
      </x:c>
      <x:c r="C9" s="137" t="str">
        <x:v>终验后免费质保期内的软件缺陷修复，不含新增需求和外部环境变化。</x:v>
      </x:c>
      <x:c r="D9" s="143"/>
      <x:c r="E9" s="143"/>
      <x:c r="F9" s="143"/>
    </x:row>
    <x:row r="10">
      <x:c r="A10" s="143"/>
      <x:c r="B10" s="143"/>
      <x:c r="C10" s="143"/>
      <x:c r="D10" s="143"/>
      <x:c r="E10" s="143"/>
      <x:c r="F10" s="143"/>
    </x:row>
    <x:row r="11" ht="24" customHeight="1">
      <x:c r="A11" s="99" t="str">
        <x:v>二、默认不包含/需另行确认</x:v>
      </x:c>
      <x:c r="B11" s="99" t="str">
        <x:v>二、默认不包含/需另行确认</x:v>
      </x:c>
      <x:c r="C11" s="99" t="str">
        <x:v>二、默认不包含/需另行确认</x:v>
      </x:c>
      <x:c r="D11" s="99" t="str">
        <x:v>二、默认不包含/需另行确认</x:v>
      </x:c>
      <x:c r="E11" s="99" t="str">
        <x:v>二、默认不包含/需另行确认</x:v>
      </x:c>
      <x:c r="F11" s="99" t="str">
        <x:v>二、默认不包含/需另行确认</x:v>
      </x:c>
    </x:row>
    <x:row r="12">
      <x:c r="A12" s="181" t="n">
        <x:v>1</x:v>
      </x:c>
      <x:c r="B12" s="181" t="str">
        <x:v>基础设施</x:v>
      </x:c>
      <x:c r="C12" s="181" t="str">
        <x:v>服务器、GPU、存储、网络、安全设备、操作系统和数据库商业许可。</x:v>
      </x:c>
      <x:c r="D12" s="143"/>
      <x:c r="E12" s="143"/>
      <x:c r="F12" s="143"/>
    </x:row>
    <x:row r="13">
      <x:c r="A13" s="181" t="n">
        <x:v>2</x:v>
      </x:c>
      <x:c r="B13" s="181" t="str">
        <x:v>第三方费用</x:v>
      </x:c>
      <x:c r="C13" s="181" t="str">
        <x:v>HIS/EMR/LIS/PACS 厂商接口费、短信、电子签名、文献数据库和商业模型费用。</x:v>
      </x:c>
      <x:c r="D13" s="143"/>
      <x:c r="E13" s="143"/>
      <x:c r="F13" s="143"/>
    </x:row>
    <x:row r="14">
      <x:c r="A14" s="181" t="n">
        <x:v>3</x:v>
      </x:c>
      <x:c r="B14" s="181" t="str">
        <x:v>数据整改</x:v>
      </x:c>
      <x:c r="C14" s="181" t="str">
        <x:v>医院历史数据大规模补录、人工标注、全院主数据治理和源系统改造。</x:v>
      </x:c>
      <x:c r="D14" s="143"/>
      <x:c r="E14" s="143"/>
      <x:c r="F14" s="143"/>
    </x:row>
    <x:row r="15">
      <x:c r="A15" s="181" t="n">
        <x:v>4</x:v>
      </x:c>
      <x:c r="B15" s="181" t="str">
        <x:v>科研服务</x:v>
      </x:c>
      <x:c r="C15" s="181" t="str">
        <x:v>代写论文、投稿代理、版面费、伦理申请、注册、统计师/医学专家无限次服务。</x:v>
      </x:c>
      <x:c r="D15" s="143"/>
      <x:c r="E15" s="143"/>
      <x:c r="F15" s="143"/>
    </x:row>
    <x:row r="16">
      <x:c r="A16" s="181" t="n">
        <x:v>5</x:v>
      </x:c>
      <x:c r="B16" s="181" t="str">
        <x:v>高阶范围</x:v>
      </x:c>
      <x:c r="C16" s="181" t="str">
        <x:v>组学、影像 AI、临床试验 EDC、多中心联邦分析、Meta 分析和自动投稿。</x:v>
      </x:c>
      <x:c r="D16" s="143"/>
      <x:c r="E16" s="143"/>
      <x:c r="F16" s="143"/>
    </x:row>
    <x:row r="17">
      <x:c r="A17" s="181" t="n">
        <x:v>6</x:v>
      </x:c>
      <x:c r="B17" s="181" t="str">
        <x:v>结果承诺</x:v>
      </x:c>
      <x:c r="C17" s="181" t="str">
        <x:v>论文录用、影响因子、职称评审结果、临床结论成立或科研奖项。</x:v>
      </x:c>
      <x:c r="D17" s="143"/>
      <x:c r="E17" s="143"/>
      <x:c r="F17" s="143"/>
    </x:row>
    <x:row r="18">
      <x:c r="A18" s="143"/>
      <x:c r="B18" s="143"/>
      <x:c r="C18" s="143"/>
      <x:c r="D18" s="143"/>
      <x:c r="E18" s="143"/>
      <x:c r="F18" s="143"/>
    </x:row>
    <x:row r="19" ht="24" customHeight="1">
      <x:c r="A19" s="99" t="str">
        <x:v>三、范围与变更控制</x:v>
      </x:c>
      <x:c r="B19" s="99" t="str">
        <x:v>三、范围与变更控制</x:v>
      </x:c>
      <x:c r="C19" s="99" t="str">
        <x:v>三、范围与变更控制</x:v>
      </x:c>
      <x:c r="D19" s="99" t="str">
        <x:v>三、范围与变更控制</x:v>
      </x:c>
      <x:c r="E19" s="99" t="str">
        <x:v>三、范围与变更控制</x:v>
      </x:c>
      <x:c r="F19" s="99" t="str">
        <x:v>三、范围与变更控制</x:v>
      </x:c>
    </x:row>
    <x:row r="20">
      <x:c r="A20" s="171" t="str">
        <x:v>1</x:v>
      </x:c>
      <x:c r="B20" s="172" t="str">
        <x:v>双方以本功能清单、PRD、接口清单和验收标准作为合同范围附件。</x:v>
      </x:c>
      <x:c r="C20" s="172"/>
      <x:c r="D20" s="172"/>
      <x:c r="E20" s="172"/>
      <x:c r="F20" s="173"/>
    </x:row>
    <x:row r="21">
      <x:c r="A21" s="174" t="str">
        <x:v>2</x:v>
      </x:c>
      <x:c r="B21" s="137" t="str">
        <x:v>需求编号不变的缺陷修复属于原范围；新增业务目标、数据源、算法、报表或角色属于变更评估。</x:v>
      </x:c>
      <x:c r="C21" s="137"/>
      <x:c r="D21" s="137"/>
      <x:c r="E21" s="137"/>
      <x:c r="F21" s="175"/>
    </x:row>
    <x:row r="22">
      <x:c r="A22" s="174" t="str">
        <x:v>3</x:v>
      </x:c>
      <x:c r="B22" s="137" t="str">
        <x:v>接口在现场调研后形成字段映射和边界确认单；外部系统变化导致的返工另行评估。</x:v>
      </x:c>
      <x:c r="C22" s="137"/>
      <x:c r="D22" s="137"/>
      <x:c r="E22" s="137"/>
      <x:c r="F22" s="175"/>
    </x:row>
    <x:row r="23">
      <x:c r="A23" s="174" t="str">
        <x:v>4</x:v>
      </x:c>
      <x:c r="B23" s="137" t="str">
        <x:v>甲方延迟提供环境、数据、接口、专家审核或安全审批时，项目计划相应顺延。</x:v>
      </x:c>
      <x:c r="C23" s="137"/>
      <x:c r="D23" s="137"/>
      <x:c r="E23" s="137"/>
      <x:c r="F23" s="175"/>
    </x:row>
    <x:row r="24">
      <x:c r="A24" s="176" t="str">
        <x:v>5</x:v>
      </x:c>
      <x:c r="B24" s="177" t="str">
        <x:v>任何合成数据演示结果均不构成真实科研证据；真实项目需通过专业审核和发布门禁。</x:v>
      </x:c>
      <x:c r="C24" s="177"/>
      <x:c r="D24" s="177"/>
      <x:c r="E24" s="177"/>
      <x:c r="F24" s="178"/>
    </x:row>
    <x:row r="25">
      <x:c r="A25" s="143"/>
      <x:c r="B25" s="143"/>
      <x:c r="C25" s="143"/>
      <x:c r="D25" s="143"/>
      <x:c r="E25" s="143"/>
      <x:c r="F25" s="143"/>
    </x:row>
    <x:row r="26" ht="24" customHeight="1">
      <x:c r="A26" s="99" t="str">
        <x:v>四、建议合同验收交付物</x:v>
      </x:c>
      <x:c r="B26" s="99" t="str">
        <x:v>四、建议合同验收交付物</x:v>
      </x:c>
      <x:c r="C26" s="99" t="str">
        <x:v>四、建议合同验收交付物</x:v>
      </x:c>
      <x:c r="D26" s="99" t="str">
        <x:v>四、建议合同验收交付物</x:v>
      </x:c>
      <x:c r="E26" s="99" t="str">
        <x:v>四、建议合同验收交付物</x:v>
      </x:c>
      <x:c r="F26" s="99" t="str">
        <x:v>四、建议合同验收交付物</x:v>
      </x:c>
    </x:row>
    <x:row r="27" ht="30" customHeight="1">
      <x:c r="A27" s="13" t="str">
        <x:v>阶段</x:v>
      </x:c>
      <x:c r="B27" s="13" t="str">
        <x:v>主要交付物</x:v>
      </x:c>
      <x:c r="C27" s="13" t="str">
        <x:v>功能验收</x:v>
      </x:c>
      <x:c r="D27" s="13" t="str">
        <x:v>质量证据</x:v>
      </x:c>
      <x:c r="E27" s="13" t="str">
        <x:v>甲方配合</x:v>
      </x:c>
      <x:c r="F27" s="13" t="str">
        <x:v>结论</x:v>
      </x:c>
    </x:row>
    <x:row r="28">
      <x:c r="A28" s="137" t="str">
        <x:v>一期</x:v>
      </x:c>
      <x:c r="B28" s="137" t="str">
        <x:v>核心平台、文件导入、三类模板、统计图表报告、审核、ZIP、接口文档</x:v>
      </x:c>
      <x:c r="C28" s="137" t="str">
        <x:v>合成数据全流程</x:v>
      </x:c>
      <x:c r="D28" s="137" t="str">
        <x:v>自动化测试、扫描、双视口、制品哈希</x:v>
      </x:c>
      <x:c r="E28" s="137" t="str">
        <x:v>确认需求和验收样例</x:v>
      </x:c>
      <x:c r="F28" s="137" t="str">
        <x:v>演示/测试环境可用</x:v>
      </x:c>
    </x:row>
    <x:row r="29">
      <x:c r="A29" s="137" t="str">
        <x:v>二期</x:v>
      </x:c>
      <x:c r="B29" s="137" t="str">
        <x:v>医院接口、授权、真实项目、监控、备份恢复、培训</x:v>
      </x:c>
      <x:c r="C29" s="137" t="str">
        <x:v>5-10 个真实项目流程</x:v>
      </x:c>
      <x:c r="D29" s="137" t="str">
        <x:v>数据对账、安全、性能、容灾</x:v>
      </x:c>
      <x:c r="E29" s="137" t="str">
        <x:v>接口、数据、专家和伦理授权</x:v>
      </x:c>
      <x:c r="F29" s="137" t="str">
        <x:v>受限试点可用</x:v>
      </x:c>
    </x:row>
    <x:row r="30">
      <x:c r="A30" s="137" t="str">
        <x:v>三期</x:v>
      </x:c>
      <x:c r="B30" s="137" t="str">
        <x:v>选配算法、样式、双语、多机构和扩展接口</x:v>
      </x:c>
      <x:c r="C30" s="137" t="str">
        <x:v>按选配清单验收</x:v>
      </x:c>
      <x:c r="D30" s="137" t="str">
        <x:v>专项测试与回归</x:v>
      </x:c>
      <x:c r="E30" s="137" t="str">
        <x:v>确认目标期刊和扩展范围</x:v>
      </x:c>
      <x:c r="F30" s="137" t="str">
        <x:v>商业增强能力</x:v>
      </x:c>
    </x:row>
    <x:row r="31">
      <x:c r="A31" s="137" t="str">
        <x:v>终验</x:v>
      </x:c>
      <x:c r="B31" s="137" t="str">
        <x:v>部署包、源码/交付物（依合同）、文档、账号、培训、问题清单</x:v>
      </x:c>
      <x:c r="C31" s="137" t="str">
        <x:v>P0 需求闭环</x:v>
      </x:c>
      <x:c r="D31" s="137" t="str">
        <x:v>无未接受高危问题</x:v>
      </x:c>
      <x:c r="E31" s="137" t="str">
        <x:v>联合签署验收</x:v>
      </x:c>
      <x:c r="F31" s="137" t="str">
        <x:v>达到合同约定上线门槛</x:v>
      </x:c>
    </x:row>
    <x:row r="32">
      <x:c r="A32" s="137" t="str">
        <x:v>持续服务</x:v>
      </x:c>
      <x:c r="B32" s="137" t="str">
        <x:v>运维、升级、模板维护、模型评测和专项科研服务</x:v>
      </x:c>
      <x:c r="C32" s="137" t="str">
        <x:v>按年度 SLA</x:v>
      </x:c>
      <x:c r="D32" s="137" t="str">
        <x:v>月报/季报和问题闭环</x:v>
      </x:c>
      <x:c r="E32" s="137" t="str">
        <x:v>续费与服务范围确认</x:v>
      </x:c>
      <x:c r="F32" s="137" t="str">
        <x:v>另签年度服务</x:v>
      </x:c>
    </x:row>
  </x:sheetData>
  <x:mergeCells>
    <x:mergeCell ref="A1:F1"/>
    <x:mergeCell ref="A3:F3"/>
    <x:mergeCell ref="A11:F11"/>
    <x:mergeCell ref="A19:F19"/>
    <x:mergeCell ref="B20:F20"/>
    <x:mergeCell ref="B21:F21"/>
    <x:mergeCell ref="B22:F22"/>
    <x:mergeCell ref="B23:F23"/>
    <x:mergeCell ref="B24:F24"/>
    <x:mergeCell ref="A26:F26"/>
  </x:mergeCells>
  <x:pageMargins left="0.7" right="0.7" top="0.75" bottom="0.75" header="0.3" footer="0.3"/>
</x:worksheet>
</file>